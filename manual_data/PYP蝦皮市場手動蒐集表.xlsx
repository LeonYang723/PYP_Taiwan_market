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填寫說明" sheetId="1" state="visible" r:id="rId3"/>
    <sheet name="商品資料" sheetId="2" state="visible" r:id="rId4"/>
    <sheet name="規格評價統計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<sst xmlns="http://schemas.openxmlformats.org/spreadsheetml/2006/main" count="277" uniqueCount="117">
  <si>
    <r>
      <rPr>
        <b val="true"/>
        <sz val="14"/>
        <color rgb="FF1F4E78"/>
        <rFont val="Arial"/>
        <family val="0"/>
        <charset val="1"/>
      </rPr>
      <t xml:space="preserve">PYP </t>
    </r>
    <r>
      <rPr>
        <b val="true"/>
        <sz val="14"/>
        <color rgb="FF1F4E78"/>
        <rFont val="Noto Sans CJK SC"/>
        <family val="2"/>
      </rPr>
      <t xml:space="preserve">蝦皮市場手動蒐集表</t>
    </r>
  </si>
  <si>
    <t xml:space="preserve">這份表格取代原本自動化爬蟲的角色，供你每次人工上蝦皮搜尋「PYP」相關關鍵字時，</t>
  </si>
  <si>
    <t xml:space="preserve">把看到的商品資訊記錄下來。填完後傳回來（或自己執行匯入腳本），系統會照樣</t>
  </si>
  <si>
    <t xml:space="preserve">產生季報/年報儀表板，跟原本自動化版本用的是同一套報表邏輯。</t>
  </si>
  <si>
    <t xml:space="preserve">這份檔案有兩個要填的工作表：</t>
  </si>
  <si>
    <t xml:space="preserve">① 商品資料</t>
  </si>
  <si>
    <t xml:space="preserve">每一列 = 一個蝦皮商品頁面。這是最主要、最可靠的資料，直接抄商品頁面上</t>
  </si>
  <si>
    <t xml:space="preserve">公開顯示的數字（價格、累計已售出等）即可，不用猜、不用算。</t>
  </si>
  <si>
    <t xml:space="preserve">黃色欄位是要你填的，綠色那一列是範例，實際填寫時整列刪掉或蓋掉即可。</t>
  </si>
  <si>
    <t xml:space="preserve">② 規格評價統計（選填，用來推估不同規格/選項的市場需求比例）</t>
  </si>
  <si>
    <t xml:space="preserve">蝦皮公開頁面不會顯示「這個規格賣了幾件」，只會顯示整個商品的總銷量。</t>
  </si>
  <si>
    <t xml:space="preserve">這裡用一個變通方法：蝦皮的評價區通常會標示買家當初買的是哪個規格，</t>
  </si>
  <si>
    <t xml:space="preserve">把最近一批評價（例如最新 30～50 則，或全部，看評價數量多寡）依規格</t>
  </si>
  <si>
    <t xml:space="preserve">分類數一數則數，再依比例反推回總銷量，估算「這個規格大概賣了多少件」。</t>
  </si>
  <si>
    <t xml:space="preserve">這是一個推估值，不是蝦皮公開的精確數字，前提假設是「留評價的比例在各規格</t>
  </si>
  <si>
    <t xml:space="preserve">之間差不多」，實際上可能有落差（例如某規格的人比較常留評價）。儀表板上</t>
  </si>
  <si>
    <t xml:space="preserve">這部分的數字都會清楚標示「推估值」，不會跟①的精確銷量數字混在一起看。</t>
  </si>
  <si>
    <t xml:space="preserve">如果一個商品的評價則數太少（例如低於 10 則），這個推估的可信度會很低，</t>
  </si>
  <si>
    <t xml:space="preserve">建議乾脆不要填這個商品的規格統計，只填①的商品總銷量就好。</t>
  </si>
  <si>
    <t xml:space="preserve">填完之後怎麼辦？</t>
  </si>
  <si>
    <t xml:space="preserve">把這個檔案傳給負責處理系統的人（或你自己執行 scripts/ 底下的兩支匯入</t>
  </si>
  <si>
    <t xml:space="preserve">腳本），會自動轉成系統看得懂的格式，更新到儀表板網站上。建議頻率：</t>
  </si>
  <si>
    <t xml:space="preserve">至少每季一次（配合季報），有餘力的話可以每月做一次，資料點越密集，</t>
  </si>
  <si>
    <t xml:space="preserve">季報的準確度越高（尤其是新商品剛開始追蹤的那一季，數字容易偏低估）。</t>
  </si>
  <si>
    <t xml:space="preserve">日期(YYYY-MM-DD)</t>
  </si>
  <si>
    <t xml:space="preserve">卡套類別</t>
  </si>
  <si>
    <t xml:space="preserve">卡套尺寸</t>
  </si>
  <si>
    <t xml:space="preserve">商品名稱</t>
  </si>
  <si>
    <t xml:space="preserve">賣家名稱</t>
  </si>
  <si>
    <t xml:space="preserve">商品連結</t>
  </si>
  <si>
    <t xml:space="preserve">價格(NT$)</t>
  </si>
  <si>
    <t xml:space="preserve">該商品總銷量</t>
  </si>
  <si>
    <t xml:space="preserve">備註</t>
  </si>
  <si>
    <t xml:space="preserve">2026-08-24</t>
  </si>
  <si>
    <t xml:space="preserve">掀蓋式卡夾</t>
  </si>
  <si>
    <t xml:space="preserve">一般卡片尺寸</t>
  </si>
  <si>
    <r>
      <rPr>
        <sz val="10"/>
        <rFont val="Arial"/>
        <family val="0"/>
        <charset val="1"/>
      </rPr>
      <t xml:space="preserve">PYP </t>
    </r>
    <r>
      <rPr>
        <sz val="10"/>
        <rFont val="Noto Sans CJK SC"/>
        <family val="2"/>
      </rPr>
      <t xml:space="preserve">卡套 經典款 質感卡夾</t>
    </r>
  </si>
  <si>
    <t xml:space="preserve">小美精品配件</t>
  </si>
  <si>
    <t xml:space="preserve">https://shopee.tw/product/1234567/89012345</t>
  </si>
  <si>
    <t xml:space="preserve">範例列，請刪除或覆蓋</t>
  </si>
  <si>
    <t xml:space="preserve">軟式卡套(透明)</t>
  </si>
  <si>
    <t xml:space="preserve">35PT</t>
  </si>
  <si>
    <t xml:space="preserve">數碼遊戲 透明卡套 寶可夢卡套 遊戲王卡套 七龍珠卡套 PTCG卡套 球員卡套 偶像小卡套 悠遊卡套 硬卡套 直式加厚｜規格：35PT 透明卡套(1包/25個)</t>
  </si>
  <si>
    <t xml:space="preserve">數碼遊戲_CyberGamer</t>
  </si>
  <si>
    <t xml:space="preserve">https://shopee.tw/product/2694931/20159650253</t>
  </si>
  <si>
    <t xml:space="preserve">商品描述含[PYP 硬卡套]字樣，確認為PYP商品；此為同一listing下的規格之一。銷量欄位為評價抽樣估算值：統計此listing全部230則「附上評論」的買家評論中標示的規格（部分買家一次訂單買多規格，故規格提及次數264則略多於230，扣除1則因蝦皮顯示截斷省略號無法辨識的規格後，有效樣本263則），按各規格提及比例分配蝦皮顯示的合併總銷量「1萬+」（以10000計算）。注意：這是以「有留言評論」的買家為樣本，佔全部2,466則評分的一小部分（約9%），假設留言行為在各規格間大致均勻分布，實際比例可能有偏差，僅供參考；130PT保護膜規格在樣本中完全沒有出現，估算值為0，但不代表實際銷量真的是0，只是樣本裡剛好沒有買這個規格又留言的人。尺寸資訊：官方描述只標示35PT代表尺寸 外約7.5x10cm/內約7x9.5cm，130PT規格實際外觀尺寸頁面未標示</t>
  </si>
  <si>
    <t xml:space="preserve">軟式卡套(磨砂白底)</t>
  </si>
  <si>
    <t xml:space="preserve">數碼遊戲 透明卡套 寶可夢卡套 遊戲王卡套 七龍珠卡套 PTCG卡套 球員卡套 偶像小卡套 悠遊卡套 硬卡套 直式加厚｜規格：35PT 磨砂白底卡套(1包/25個)</t>
  </si>
  <si>
    <t xml:space="preserve">軟式卡套(透明黑框)</t>
  </si>
  <si>
    <t xml:space="preserve">數碼遊戲 透明卡套 寶可夢卡套 遊戲王卡套 七龍珠卡套 PTCG卡套 球員卡套 偶像小卡套 悠遊卡套 硬卡套 直式加厚｜規格：35PT 透明黑框卡套(1包/25個)</t>
  </si>
  <si>
    <t xml:space="preserve">130PT</t>
  </si>
  <si>
    <t xml:space="preserve">數碼遊戲 透明卡套 寶可夢卡套 遊戲王卡套 七龍珠卡套 PTCG卡套 球員卡套 偶像小卡套 悠遊卡套 硬卡套 直式加厚｜規格：130PT 透明卡套(1包/10個)</t>
  </si>
  <si>
    <t xml:space="preserve">卡套保護膜</t>
  </si>
  <si>
    <t xml:space="preserve">數碼遊戲 透明卡套 寶可夢卡套 遊戲王卡套 七龍珠卡套 PTCG卡套 球員卡套 偶像小卡套 悠遊卡套 硬卡套 直式加厚｜規格：35PT 卡套保護膜(1包100個)</t>
  </si>
  <si>
    <t xml:space="preserve">數碼遊戲 透明卡套 寶可夢卡套 遊戲王卡套 七龍珠卡套 PTCG卡套 球員卡套 偶像小卡套 悠遊卡套 硬卡套 直式加厚｜規格：130PT 卡套保護膜(1包100個)</t>
  </si>
  <si>
    <t xml:space="preserve">半硬式卡套(Semi-Rigid)</t>
  </si>
  <si>
    <t xml:space="preserve">數碼遊戲 35pt 透明 半剛性卡套 PTCG 遊戲王 寶可夢 球員卡 愛豆小卡 偶像小卡 專輯小卡 直式 加厚防水防刮</t>
  </si>
  <si>
    <t xml:space="preserve">https://shopee.tw/product/2694931/24659036664</t>
  </si>
  <si>
    <t xml:space="preserve">商品圖片與描述明確確認為PYP商品(包裝印有P.Y.P SEMI-RIGID CARD HOLDERS字樣)；單一規格(僅35PT)，總銷量242為精確值，非估計</t>
  </si>
  <si>
    <t xml:space="preserve">磁吸卡磚(標準)</t>
  </si>
  <si>
    <t xml:space="preserve">100PT</t>
  </si>
  <si>
    <t xml:space="preserve">數碼遊戲 磁吸卡磚 寶可夢卡磚 遊戲王卡磚 七龍珠卡磚 PTCG卡磚 球員卡磚 專輯卡磚 壓克力卡磚 卡套 卡冊 卡殼</t>
  </si>
  <si>
    <t xml:space="preserve">https://shopee.tw/product/2694931/19859645447</t>
  </si>
  <si>
    <t xml:space="preserve">商品描述與主圖含「[PYP 強磁吸保護卡磚]」字樣及 P.Y.P 品牌圖樣，確認為PYP商品；此為同一 listing（共10種規格）下的規格之一。該 listing 合併總銷量蝦皮顯示為「4萬+」（約40000件），但因規格數量多達10種、且評論數高達392則（附上評論），本次未執行評論抽樣拆分，故本列「該商品總銷量」欄位留空，避免用同一個合併數字重複填入10列造成加總時重複計算。若未來要精確拆分，可比照「透明卡套」listing的評論抽樣法（見商品連結頁面的『商品評價』區塊，篩選『附上評論』後翻頁統計各規格的提及次數）。單價為直接從商品頁 React 內部資料 (item.models) 擷取的精確值。</t>
  </si>
  <si>
    <t xml:space="preserve">180PT</t>
  </si>
  <si>
    <t xml:space="preserve">磁吸卡磚立架(三角)</t>
  </si>
  <si>
    <t xml:space="preserve">-</t>
  </si>
  <si>
    <t xml:space="preserve">磁吸卡磚(黑邊)</t>
  </si>
  <si>
    <t xml:space="preserve">75PT</t>
  </si>
  <si>
    <t xml:space="preserve">磁吸卡磚立架</t>
  </si>
  <si>
    <t xml:space="preserve">磁吸卡磚(加大68x95mm)</t>
  </si>
  <si>
    <t xml:space="preserve">55PT</t>
  </si>
  <si>
    <t xml:space="preserve">貝殼卡磚</t>
  </si>
  <si>
    <t xml:space="preserve">數碼遊戲 貝殼卡磚 寶可夢卡磚 遊戲王卡磚 七龍珠卡磚 PTCG卡磚 球員卡磚 偶像卡磚 壓克力卡磚 卡套 卡冊</t>
  </si>
  <si>
    <t xml:space="preserve">https://shopee.tw/product/2694931/23236661859</t>
  </si>
  <si>
    <t xml:space="preserve">商品描述與主圖含「P.Y.P 貝殼卡磚」「P.Y.P MINI SNAP」字樣及品牌圖樣，確認為PYP商品；單一規格（僅35PT），售價與已售出數量為蝦皮頁面直接顯示的精確值（已售出「1萬+」為蝦皮自身的概數顯示方式，非本系統估算）。</t>
  </si>
  <si>
    <t xml:space="preserve">卡磚膜(PSA鑑定卡專用)</t>
  </si>
  <si>
    <t xml:space="preserve">數碼遊戲 磁吸卡磚膜 PSA BGS 透明卡套 牌套 豎插 PTCG 寶可夢 PP塑料 100PT以下通用 100入</t>
  </si>
  <si>
    <t xml:space="preserve">https://shopee.tw/product/2694931/23680741251</t>
  </si>
  <si>
    <t xml:space="preserve">商品描述與主圖含「P.Y.P 強磁卡磚膜」字樣及品牌圖樣，確認為PYP商品；此為同一 listing（共4種規格）下的規格之一。該 listing 合併總銷量蝦皮顯示為「1,000+」，因規格較多且本次未執行評論抽樣拆分，本列「該商品總銷量」欄位留空，避免重複計算。單價為直接從商品頁 React 內部資料 (item.models) 擷取的精確值。</t>
  </si>
  <si>
    <t xml:space="preserve">卡磚膜(BGS鑑定卡專用)</t>
  </si>
  <si>
    <t xml:space="preserve">卡磚膜(130~180PT通用)</t>
  </si>
  <si>
    <t xml:space="preserve">130~180PT</t>
  </si>
  <si>
    <t xml:space="preserve">卡磚膜(35~100PT通用)</t>
  </si>
  <si>
    <t xml:space="preserve">35~100PT</t>
  </si>
  <si>
    <t xml:space="preserve">2026-08-27</t>
  </si>
  <si>
    <t xml:space="preserve">磁吸卡磚(透明)</t>
  </si>
  <si>
    <t xml:space="preserve">磁吸卡磚 磁吸卡片保護套 寶可夢卡磚 遊戲王卡磚 球員卡 球衣卡35PT 55PT 100PT 130PT 180PT</t>
  </si>
  <si>
    <t xml:space="preserve">放開那隻貓的腳</t>
  </si>
  <si>
    <t xml:space="preserve">https://shopee.tw/product/1452838/24621336684</t>
  </si>
  <si>
    <t xml:space="preserve">此賣場為「放開那隻貓的腳」（shopid 1452838）。前次使用者本人確認：此賣場商品原本都有顯示PYP logo與商品名稱，後續疑似遭移除。經瀏覽器實際比對，本商品圖片集中的「P.Y.P Transmission Meter」品牌檢測儀器照片（同一組82.5/100/15.2 VLT/UVR/IRR讀數、同款拍攝角度與同款「高透明度/可見光透射率/紫外線防護」文案排版），與PYP官方物料完全一致；同一張照片同時出現在本賣場另外兩項商品（35pt貝殼卡磚 item 25760916522、四角螺絲卡磚 item 42410736514）的圖片集中，判斷為原PYP商品、品牌文字與logo遭移除後轉售。此為同一listing（共8種規格A-H）下的規格之一，listing合併總銷量蝦皮顯示為「2萬+」（以20000計算）、1,540則評價（5.0分）。本列銷量為評價抽樣估算值：篩選「附上評論」的166則評論、翻頁讀取全部規格標示文字，扣除頁面重複載入造成的完全重複則後得161則唯一評論，部分評論一次訂單買了不只一種規格，拆分後共202次規格提及（35PT依顏色分A透明/B黑色兩類，55/75/100/130/180/260PT分別對應C/D/E/F/G/H），按各規格提及比例分配蝦皮顯示的合併總銷量20000（本規格佔比見下）。注意：這是以「有留言評論」的買家為樣本，只佔全部1,540則評分中的一小部分（約11%），假設留言行為在各規格間大致均勻分布，實際比例可能有偏差，僅供參考。單價為直接於商品頁點選各規格後讀取畫面顯示的精確值（非估算），庫存頁面顯示皆為10件。本規格 111/202 次提及（約55.0%）→估算銷量 10,991。</t>
  </si>
  <si>
    <t xml:space="preserve">磁吸卡磚(黑色)</t>
  </si>
  <si>
    <t xml:space="preserve">此賣場為「放開那隻貓的腳」（shopid 1452838）。前次使用者本人確認：此賣場商品原本都有顯示PYP logo與商品名稱，後續疑似遭移除。經瀏覽器實際比對，本商品圖片集中的「P.Y.P Transmission Meter」品牌檢測儀器照片（同一組82.5/100/15.2 VLT/UVR/IRR讀數、同款拍攝角度與同款「高透明度/可見光透射率/紫外線防護」文案排版），與PYP官方物料完全一致；同一張照片同時出現在本賣場另外兩項商品（35pt貝殼卡磚 item 25760916522、四角螺絲卡磚 item 42410736514）的圖片集中，判斷為原PYP商品、品牌文字與logo遭移除後轉售。此為同一listing（共8種規格A-H）下的規格之一，listing合併總銷量蝦皮顯示為「2萬+」（以20000計算）、1,540則評價（5.0分）。本列銷量為評價抽樣估算值：篩選「附上評論」的166則評論、翻頁讀取全部規格標示文字，扣除頁面重複載入造成的完全重複則後得161則唯一評論，部分評論一次訂單買了不只一種規格，拆分後共202次規格提及（35PT依顏色分A透明/B黑色兩類，55/75/100/130/180/260PT分別對應C/D/E/F/G/H），按各規格提及比例分配蝦皮顯示的合併總銷量20000（本規格佔比見下）。注意：這是以「有留言評論」的買家為樣本，只佔全部1,540則評分中的一小部分（約11%），假設留言行為在各規格間大致均勻分布，實際比例可能有偏差，僅供參考。單價為直接於商品頁點選各規格後讀取畫面顯示的精確值（非估算），庫存頁面顯示皆為10件。本規格 33/202 次提及（約16.3%）→估算銷量 3,267。</t>
  </si>
  <si>
    <t xml:space="preserve">此賣場為「放開那隻貓的腳」（shopid 1452838）。前次使用者本人確認：此賣場商品原本都有顯示PYP logo與商品名稱，後續疑似遭移除。經瀏覽器實際比對，本商品圖片集中的「P.Y.P Transmission Meter」品牌檢測儀器照片（同一組82.5/100/15.2 VLT/UVR/IRR讀數、同款拍攝角度與同款「高透明度/可見光透射率/紫外線防護」文案排版），與PYP官方物料完全一致；同一張照片同時出現在本賣場另外兩項商品（35pt貝殼卡磚 item 25760916522、四角螺絲卡磚 item 42410736514）的圖片集中，判斷為原PYP商品、品牌文字與logo遭移除後轉售。此為同一listing（共8種規格A-H）下的規格之一，listing合併總銷量蝦皮顯示為「2萬+」（以20000計算）、1,540則評價（5.0分）。本列銷量為評價抽樣估算值：篩選「附上評論」的166則評論、翻頁讀取全部規格標示文字，扣除頁面重複載入造成的完全重複則後得161則唯一評論，部分評論一次訂單買了不只一種規格，拆分後共202次規格提及（35PT依顏色分A透明/B黑色兩類，55/75/100/130/180/260PT分別對應C/D/E/F/G/H），按各規格提及比例分配蝦皮顯示的合併總銷量20000（本規格佔比見下）。注意：這是以「有留言評論」的買家為樣本，只佔全部1,540則評分中的一小部分（約11%），假設留言行為在各規格間大致均勻分布，實際比例可能有偏差，僅供參考。單價為直接於商品頁點選各規格後讀取畫面顯示的精確值（非估算），庫存頁面顯示皆為10件。本規格 15/202 次提及（約7.4%）→估算銷量 1,485。</t>
  </si>
  <si>
    <t xml:space="preserve">此賣場為「放開那隻貓的腳」（shopid 1452838）。前次使用者本人確認：此賣場商品原本都有顯示PYP logo與商品名稱，後續疑似遭移除。經瀏覽器實際比對，本商品圖片集中的「P.Y.P Transmission Meter」品牌檢測儀器照片（同一組82.5/100/15.2 VLT/UVR/IRR讀數、同款拍攝角度與同款「高透明度/可見光透射率/紫外線防護」文案排版），與PYP官方物料完全一致；同一張照片同時出現在本賣場另外兩項商品（35pt貝殼卡磚 item 25760916522、四角螺絲卡磚 item 42410736514）的圖片集中，判斷為原PYP商品、品牌文字與logo遭移除後轉售。此為同一listing（共8種規格A-H）下的規格之一，listing合併總銷量蝦皮顯示為「2萬+」（以20000計算）、1,540則評價（5.0分）。本列銷量為評價抽樣估算值：篩選「附上評論」的166則評論、翻頁讀取全部規格標示文字，扣除頁面重複載入造成的完全重複則後得161則唯一評論，部分評論一次訂單買了不只一種規格，拆分後共202次規格提及（35PT依顏色分A透明/B黑色兩類，55/75/100/130/180/260PT分別對應C/D/E/F/G/H），按各規格提及比例分配蝦皮顯示的合併總銷量20000（本規格佔比見下）。注意：這是以「有留言評論」的買家為樣本，只佔全部1,540則評分中的一小部分（約11%），假設留言行為在各規格間大致均勻分布，實際比例可能有偏差，僅供參考。單價為直接於商品頁點選各規格後讀取畫面顯示的精確值（非估算），庫存頁面顯示皆為10件。本規格 2/202 次提及（約1.0%）→估算銷量 198（樣本數很少，可信度低，僅供參考）。</t>
  </si>
  <si>
    <t xml:space="preserve">此賣場為「放開那隻貓的腳」（shopid 1452838）。前次使用者本人確認：此賣場商品原本都有顯示PYP logo與商品名稱，後續疑似遭移除。經瀏覽器實際比對，本商品圖片集中的「P.Y.P Transmission Meter」品牌檢測儀器照片（同一組82.5/100/15.2 VLT/UVR/IRR讀數、同款拍攝角度與同款「高透明度/可見光透射率/紫外線防護」文案排版），與PYP官方物料完全一致；同一張照片同時出現在本賣場另外兩項商品（35pt貝殼卡磚 item 25760916522、四角螺絲卡磚 item 42410736514）的圖片集中，判斷為原PYP商品、品牌文字與logo遭移除後轉售。此為同一listing（共8種規格A-H）下的規格之一，listing合併總銷量蝦皮顯示為「2萬+」（以20000計算）、1,540則評價（5.0分）。本列銷量為評價抽樣估算值：篩選「附上評論」的166則評論、翻頁讀取全部規格標示文字，扣除頁面重複載入造成的完全重複則後得161則唯一評論，部分評論一次訂單買了不只一種規格，拆分後共202次規格提及（35PT依顏色分A透明/B黑色兩類，55/75/100/130/180/260PT分別對應C/D/E/F/G/H），按各規格提及比例分配蝦皮顯示的合併總銷量20000（本規格佔比見下）。注意：這是以「有留言評論」的買家為樣本，只佔全部1,540則評分中的一小部分（約11%），假設留言行為在各規格間大致均勻分布，實際比例可能有偏差，僅供參考。單價為直接於商品頁點選各規格後讀取畫面顯示的精確值（非估算），庫存頁面顯示皆為10件。本規格 11/202 次提及（約5.4%）→估算銷量 1,089。</t>
  </si>
  <si>
    <t xml:space="preserve">此賣場為「放開那隻貓的腳」（shopid 1452838）。前次使用者本人確認：此賣場商品原本都有顯示PYP logo與商品名稱，後續疑似遭移除。經瀏覽器實際比對，本商品圖片集中的「P.Y.P Transmission Meter」品牌檢測儀器照片（同一組82.5/100/15.2 VLT/UVR/IRR讀數、同款拍攝角度與同款「高透明度/可見光透射率/紫外線防護」文案排版），與PYP官方物料完全一致；同一張照片同時出現在本賣場另外兩項商品（35pt貝殼卡磚 item 25760916522、四角螺絲卡磚 item 42410736514）的圖片集中，判斷為原PYP商品、品牌文字與logo遭移除後轉售。此為同一listing（共8種規格A-H）下的規格之一，listing合併總銷量蝦皮顯示為「2萬+」（以20000計算）、1,540則評價（5.0分）。本列銷量為評價抽樣估算值：篩選「附上評論」的166則評論、翻頁讀取全部規格標示文字，扣除頁面重複載入造成的完全重複則後得161則唯一評論，部分評論一次訂單買了不只一種規格，拆分後共202次規格提及（35PT依顏色分A透明/B黑色兩類，55/75/100/130/180/260PT分別對應C/D/E/F/G/H），按各規格提及比例分配蝦皮顯示的合併總銷量20000（本規格佔比見下）。注意：這是以「有留言評論」的買家為樣本，只佔全部1,540則評分中的一小部分（約11%），假設留言行為在各規格間大致均勻分布，實際比例可能有偏差，僅供參考。單價為直接於商品頁點選各規格後讀取畫面顯示的精確值（非估算），庫存頁面顯示皆為10件。本規格 19/202 次提及（約9.4%）→估算銷量 1,881。</t>
  </si>
  <si>
    <t xml:space="preserve">此賣場為「放開那隻貓的腳」（shopid 1452838）。前次使用者本人確認：此賣場商品原本都有顯示PYP logo與商品名稱，後續疑似遭移除。經瀏覽器實際比對，本商品圖片集中的「P.Y.P Transmission Meter」品牌檢測儀器照片（同一組82.5/100/15.2 VLT/UVR/IRR讀數、同款拍攝角度與同款「高透明度/可見光透射率/紫外線防護」文案排版），與PYP官方物料完全一致；同一張照片同時出現在本賣場另外兩項商品（35pt貝殼卡磚 item 25760916522、四角螺絲卡磚 item 42410736514）的圖片集中，判斷為原PYP商品、品牌文字與logo遭移除後轉售。此為同一listing（共8種規格A-H）下的規格之一，listing合併總銷量蝦皮顯示為「2萬+」（以20000計算）、1,540則評價（5.0分）。本列銷量為評價抽樣估算值：篩選「附上評論」的166則評論、翻頁讀取全部規格標示文字，扣除頁面重複載入造成的完全重複則後得161則唯一評論，部分評論一次訂單買了不只一種規格，拆分後共202次規格提及（35PT依顏色分A透明/B黑色兩類，55/75/100/130/180/260PT分別對應C/D/E/F/G/H），按各規格提及比例分配蝦皮顯示的合併總銷量20000（本規格佔比見下）。注意：這是以「有留言評論」的買家為樣本，只佔全部1,540則評分中的一小部分（約11%），假設留言行為在各規格間大致均勻分布，實際比例可能有偏差，僅供參考。單價為直接於商品頁點選各規格後讀取畫面顯示的精確值（非估算），庫存頁面顯示皆為10件。本規格 10/202 次提及（約5.0%）→估算銷量 990。</t>
  </si>
  <si>
    <t xml:space="preserve">260PT</t>
  </si>
  <si>
    <t xml:space="preserve">此賣場為「放開那隻貓的腳」（shopid 1452838）。前次使用者本人確認：此賣場商品原本都有顯示PYP logo與商品名稱，後續疑似遭移除。經瀏覽器實際比對，本商品圖片集中的「P.Y.P Transmission Meter」品牌檢測儀器照片（同一組82.5/100/15.2 VLT/UVR/IRR讀數、同款拍攝角度與同款「高透明度/可見光透射率/紫外線防護」文案排版），與PYP官方物料完全一致；同一張照片同時出現在本賣場另外兩項商品（35pt貝殼卡磚 item 25760916522、四角螺絲卡磚 item 42410736514）的圖片集中，判斷為原PYP商品、品牌文字與logo遭移除後轉售。此為同一listing（共8種規格A-H）下的規格之一，listing合併總銷量蝦皮顯示為「2萬+」（以20000計算）、1,540則評價（5.0分）。本列銷量為評價抽樣估算值：篩選「附上評論」的166則評論、翻頁讀取全部規格標示文字，扣除頁面重複載入造成的完全重複則後得161則唯一評論，部分評論一次訂單買了不只一種規格，拆分後共202次規格提及（35PT依顏色分A透明/B黑色兩類，55/75/100/130/180/260PT分別對應C/D/E/F/G/H），按各規格提及比例分配蝦皮顯示的合併總銷量20000（本規格佔比見下）。注意：這是以「有留言評論」的買家為樣本，只佔全部1,540則評分中的一小部分（約11%），假設留言行為在各規格間大致均勻分布，實際比例可能有偏差，僅供參考。單價為直接於商品頁點選各規格後讀取畫面顯示的精確值（非估算），庫存頁面顯示皆為10件。本規格 1/202 次提及（約0.5%）→估算銷量 99（樣本數極少，可信度低，僅供參考）。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</si>
  <si>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台灣快速發貨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卡片保護套 </t>
    </r>
    <r>
      <rPr>
        <sz val="10"/>
        <rFont val="Arial"/>
        <family val="0"/>
        <charset val="1"/>
      </rPr>
      <t xml:space="preserve">35pt</t>
    </r>
    <r>
      <rPr>
        <sz val="10"/>
        <rFont val="Noto Sans CJK SC"/>
        <family val="2"/>
      </rPr>
      <t xml:space="preserve">貝殼卡磚 卡片保護磚 卡磚 卡套 寶可夢 球員卡 遊戲王 球星卡 獵人</t>
    </r>
  </si>
  <si>
    <t xml:space="preserve">https://shopee.tw/product/1452838/25760916522</t>
  </si>
  <si>
    <t xml:space="preserve">此賣場為「放開那隻貓的腳」（shopid 1452838）。頁面文字（含商品描述全文）完全未出現PYP/P.Y.P/DEI DOW字樣，但商品包裝設計與另一賣場（數碼遊戲_CyberGamer）已確認的PYP「P.Y.P 貝殼卡磚／P.Y.P MINI SNAP」商品使用同一套「MINI SNAP」黑底藍色半色調圓點包裝樣板（含相同的Holds Standard size cards/Snap lock fit/Stackable/No PVC Acid Free/Ultra clear文案），且其中一張包裝圖片右下角有一小塊疑似遮蓋原logo位置的黑色矩形。圖片集中另有「P.Y.P Transmission Meter」品牌檢測儀器照片，與同賣場磁吸卡磚、四角螺絲卡磚兩項商品使用的是同一張圖（同一組82.5/100/15.2 VLT/UVR/IRR讀數），判斷為原PYP商品、品牌文字與logo遭移除後轉售。售價為頁面顯示的折扣價（原價$20，現折至$15），已售出「2萬+」為蝦皮頁面顯示的概數（以20000計算），993則評價。</t>
  </si>
  <si>
    <t xml:space="preserve">螺絲卡磚</t>
  </si>
  <si>
    <t xml:space="preserve">四角螺絲卡磚 卡片保護套 寶可夢卡磚 遊戲王卡磚 球員卡 魔法風雲會卡磚 卡套 寶可夢 球員卡 遊戲王 球星卡</t>
  </si>
  <si>
    <t xml:space="preserve">https://shopee.tw/product/1452838/42410736514</t>
  </si>
  <si>
    <t xml:space="preserve">此賣場為「放開那隻貓的腳」（shopid 1452838）。頁面文字完全未出現PYP/P.Y.P/DEI DOW字樣，商品包裝設計亦是與「MINI SNAP」樣板一致的黑底藍色半色調圓點設計（含相同的Holds Standard size cards/Snap lock fit/UV Protection/No PVC Acid Free/Ultra clear文案），圖片中同樣有一小塊疑似遮蓋原logo位置的黑色矩形。圖片集中另有「P.Y.P Transmission Meter」品牌檢測儀器照片，與同賣場磁吸卡磚、35pt貝殼卡磚兩項商品使用的是同一張圖（同一組82.5/100/15.2 VLT/UVR/IRR讀數），判斷為原PYP商品、品牌文字與logo遭移除後轉售。頁面未提供規格/尺寸選項，故卡套尺寸欄位留空；已售出77件、售價$60皆為頁面顯示精確值，尚無評價。</t>
  </si>
  <si>
    <t xml:space="preserve">商品名稱
(需與「商品資料」表完全一致)</t>
  </si>
  <si>
    <t xml:space="preserve">規格名稱</t>
  </si>
  <si>
    <t xml:space="preserve">抽樣評價則數</t>
  </si>
  <si>
    <t xml:space="preserve">該商品抽樣評價總則數</t>
  </si>
  <si>
    <t xml:space="preserve">此規格佔比</t>
  </si>
  <si>
    <t xml:space="preserve">商品累計已售出
(自動帶入)</t>
  </si>
  <si>
    <t xml:space="preserve">推估此規格銷量
(自動計算)</t>
  </si>
  <si>
    <t xml:space="preserve">紅色</t>
  </si>
  <si>
    <t xml:space="preserve">藍色</t>
  </si>
  <si>
    <t xml:space="preserve">黑色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</si>
</sst>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4"/>
      <color rgb="FF1F4E78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  <charset val="1"/>
    </font>
    <font>
      <b val="true"/>
      <sz val="11"/>
      <color rgb="FF1F4E78"/>
      <name val="Noto Sans CJK SC"/>
      <family val="2"/>
      <charset val="1"/>
    </font>
    <font>
      <b val="true"/>
      <sz val="10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sz val="10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2" customFormat="false" ht="21" hidden="false" customHeight="true" outlineLevel="0" collapsed="false">
      <c r="A2" s="2" t="s">
        <v>0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1</v>
      </c>
    </row>
    <row r="5" customFormat="false" ht="15" hidden="false" customHeight="true" outlineLevel="0" collapsed="false">
      <c r="A5" s="4" t="s">
        <v>2</v>
      </c>
    </row>
    <row r="6" customFormat="false" ht="15" hidden="false" customHeight="true" outlineLevel="0" collapsed="false">
      <c r="A6" s="4" t="s">
        <v>3</v>
      </c>
    </row>
    <row r="7" customFormat="false" ht="15" hidden="false" customHeight="true" outlineLevel="0" collapsed="false">
      <c r="A7" s="3"/>
    </row>
    <row r="8" customFormat="false" ht="15" hidden="false" customHeight="true" outlineLevel="0" collapsed="false">
      <c r="A8" s="5" t="s">
        <v>4</v>
      </c>
    </row>
    <row r="9" customFormat="false" ht="15" hidden="false" customHeight="true" outlineLevel="0" collapsed="false">
      <c r="A9" s="3"/>
    </row>
    <row r="10" customFormat="false" ht="15" hidden="false" customHeight="true" outlineLevel="0" collapsed="false">
      <c r="A10" s="6" t="s">
        <v>5</v>
      </c>
    </row>
    <row r="11" customFormat="false" ht="15" hidden="false" customHeight="true" outlineLevel="0" collapsed="false">
      <c r="A11" s="4" t="s">
        <v>6</v>
      </c>
    </row>
    <row r="12" customFormat="false" ht="15" hidden="false" customHeight="true" outlineLevel="0" collapsed="false">
      <c r="A12" s="4" t="s">
        <v>7</v>
      </c>
    </row>
    <row r="13" customFormat="false" ht="15" hidden="false" customHeight="true" outlineLevel="0" collapsed="false">
      <c r="A13" s="4" t="s">
        <v>8</v>
      </c>
    </row>
    <row r="14" customFormat="false" ht="15" hidden="false" customHeight="true" outlineLevel="0" collapsed="false">
      <c r="A14" s="3"/>
    </row>
    <row r="15" customFormat="false" ht="15" hidden="false" customHeight="true" outlineLevel="0" collapsed="false">
      <c r="A15" s="6" t="s">
        <v>9</v>
      </c>
    </row>
    <row r="16" customFormat="false" ht="15" hidden="false" customHeight="true" outlineLevel="0" collapsed="false">
      <c r="A16" s="4" t="s">
        <v>10</v>
      </c>
    </row>
    <row r="17" customFormat="false" ht="15" hidden="false" customHeight="true" outlineLevel="0" collapsed="false">
      <c r="A17" s="4" t="s">
        <v>11</v>
      </c>
    </row>
    <row r="18" customFormat="false" ht="15" hidden="false" customHeight="true" outlineLevel="0" collapsed="false">
      <c r="A18" s="4" t="s">
        <v>12</v>
      </c>
    </row>
    <row r="19" customFormat="false" ht="15" hidden="false" customHeight="true" outlineLevel="0" collapsed="false">
      <c r="A19" s="4" t="s">
        <v>13</v>
      </c>
    </row>
    <row r="20" customFormat="false" ht="15" hidden="false" customHeight="true" outlineLevel="0" collapsed="false">
      <c r="A20" s="3"/>
    </row>
    <row r="21" customFormat="false" ht="15" hidden="false" customHeight="true" outlineLevel="0" collapsed="false">
      <c r="A21" s="4" t="s">
        <v>14</v>
      </c>
    </row>
    <row r="22" customFormat="false" ht="15" hidden="false" customHeight="true" outlineLevel="0" collapsed="false">
      <c r="A22" s="4" t="s">
        <v>15</v>
      </c>
    </row>
    <row r="23" customFormat="false" ht="15" hidden="false" customHeight="true" outlineLevel="0" collapsed="false">
      <c r="A23" s="4" t="s">
        <v>16</v>
      </c>
    </row>
    <row r="24" customFormat="false" ht="15" hidden="false" customHeight="true" outlineLevel="0" collapsed="false">
      <c r="A24" s="3"/>
    </row>
    <row r="25" customFormat="false" ht="15" hidden="false" customHeight="true" outlineLevel="0" collapsed="false">
      <c r="A25" s="4" t="s">
        <v>17</v>
      </c>
    </row>
    <row r="26" customFormat="false" ht="15" hidden="false" customHeight="true" outlineLevel="0" collapsed="false">
      <c r="A26" s="4" t="s">
        <v>18</v>
      </c>
    </row>
    <row r="27" customFormat="false" ht="15" hidden="false" customHeight="true" outlineLevel="0" collapsed="false">
      <c r="A27" s="3"/>
    </row>
    <row r="28" customFormat="false" ht="15" hidden="false" customHeight="true" outlineLevel="0" collapsed="false">
      <c r="A28" s="5" t="s">
        <v>19</v>
      </c>
    </row>
    <row r="29" customFormat="false" ht="15" hidden="false" customHeight="true" outlineLevel="0" collapsed="false">
      <c r="A29" s="3"/>
    </row>
    <row r="30" customFormat="false" ht="15" hidden="false" customHeight="true" outlineLevel="0" collapsed="false">
      <c r="A30" s="4" t="s">
        <v>20</v>
      </c>
    </row>
    <row r="31" customFormat="false" ht="15" hidden="false" customHeight="true" outlineLevel="0" collapsed="false">
      <c r="A31" s="4" t="s">
        <v>21</v>
      </c>
    </row>
    <row r="32" customFormat="false" ht="15" hidden="false" customHeight="true" outlineLevel="0" collapsed="false">
      <c r="A32" s="4" t="s">
        <v>22</v>
      </c>
    </row>
    <row r="33" customFormat="false" ht="15" hidden="false" customHeight="true" outlineLevel="0" collapsed="false">
      <c r="A33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4" min="4" style="1" width="30"/>
    <col collapsed="false" customWidth="true" hidden="false" outlineLevel="0" max="5" min="5" style="1" width="16"/>
    <col collapsed="false" customWidth="true" hidden="false" outlineLevel="0" max="6" min="6" style="1" width="30"/>
    <col collapsed="false" customWidth="true" hidden="false" outlineLevel="0" max="7" min="7" style="1" width="10"/>
    <col collapsed="false" customWidth="true" hidden="false" outlineLevel="0" max="8" min="8" style="1" width="12"/>
    <col collapsed="false" customWidth="true" hidden="false" outlineLevel="0" max="9" min="9" style="1" width="20"/>
  </cols>
  <sheetData>
    <row r="1" customFormat="false" ht="30" hidden="false" customHeight="true" outlineLevel="0" collapsed="false">
      <c r="A1" s="7" t="s">
        <v>24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7" t="s">
        <v>32</v>
      </c>
    </row>
    <row r="2" customFormat="false" ht="15" hidden="false" customHeight="true" outlineLevel="0" collapsed="false">
      <c r="A2" s="8" t="s">
        <v>33</v>
      </c>
      <c r="B2" s="9" t="s">
        <v>34</v>
      </c>
      <c r="C2" s="9" t="s">
        <v>35</v>
      </c>
      <c r="D2" s="10" t="s">
        <v>36</v>
      </c>
      <c r="E2" s="9" t="s">
        <v>37</v>
      </c>
      <c r="F2" s="10" t="s">
        <v>38</v>
      </c>
      <c r="G2" s="8" t="n">
        <v>199</v>
      </c>
      <c r="H2" s="8" t="n">
        <v>682</v>
      </c>
      <c r="I2" s="9" t="s">
        <v>39</v>
      </c>
    </row>
    <row r="3" customFormat="false" ht="15" hidden="false" customHeight="true" outlineLevel="0" collapsed="false">
      <c r="A3" s="11" t="s">
        <v>33</v>
      </c>
      <c r="B3" s="12" t="s">
        <v>40</v>
      </c>
      <c r="C3" s="13" t="s">
        <v>41</v>
      </c>
      <c r="D3" s="12" t="s">
        <v>42</v>
      </c>
      <c r="E3" s="12" t="s">
        <v>43</v>
      </c>
      <c r="F3" s="13" t="s">
        <v>44</v>
      </c>
      <c r="G3" s="11" t="n">
        <v>110</v>
      </c>
      <c r="H3" s="11" t="n">
        <v>5932</v>
      </c>
      <c r="I3" s="12" t="s">
        <v>45</v>
      </c>
    </row>
    <row r="4" customFormat="false" ht="15" hidden="false" customHeight="true" outlineLevel="0" collapsed="false">
      <c r="A4" s="11" t="s">
        <v>33</v>
      </c>
      <c r="B4" s="12" t="s">
        <v>46</v>
      </c>
      <c r="C4" s="13" t="s">
        <v>41</v>
      </c>
      <c r="D4" s="12" t="s">
        <v>47</v>
      </c>
      <c r="E4" s="12" t="s">
        <v>43</v>
      </c>
      <c r="F4" s="13" t="s">
        <v>44</v>
      </c>
      <c r="G4" s="11" t="n">
        <v>100</v>
      </c>
      <c r="H4" s="11" t="n">
        <v>1179</v>
      </c>
      <c r="I4" s="12" t="s">
        <v>45</v>
      </c>
    </row>
    <row r="5" customFormat="false" ht="15" hidden="false" customHeight="true" outlineLevel="0" collapsed="false">
      <c r="A5" s="11" t="s">
        <v>33</v>
      </c>
      <c r="B5" s="12" t="s">
        <v>48</v>
      </c>
      <c r="C5" s="13" t="s">
        <v>41</v>
      </c>
      <c r="D5" s="12" t="s">
        <v>49</v>
      </c>
      <c r="E5" s="12" t="s">
        <v>43</v>
      </c>
      <c r="F5" s="13" t="s">
        <v>44</v>
      </c>
      <c r="G5" s="11" t="n">
        <v>120</v>
      </c>
      <c r="H5" s="11" t="n">
        <v>1635</v>
      </c>
      <c r="I5" s="12" t="s">
        <v>45</v>
      </c>
    </row>
    <row r="6" customFormat="false" ht="15" hidden="false" customHeight="true" outlineLevel="0" collapsed="false">
      <c r="A6" s="11" t="s">
        <v>33</v>
      </c>
      <c r="B6" s="12" t="s">
        <v>40</v>
      </c>
      <c r="C6" s="13" t="s">
        <v>50</v>
      </c>
      <c r="D6" s="12" t="s">
        <v>51</v>
      </c>
      <c r="E6" s="12" t="s">
        <v>43</v>
      </c>
      <c r="F6" s="13" t="s">
        <v>44</v>
      </c>
      <c r="G6" s="11" t="n">
        <v>100</v>
      </c>
      <c r="H6" s="11" t="n">
        <v>570</v>
      </c>
      <c r="I6" s="12" t="s">
        <v>45</v>
      </c>
    </row>
    <row r="7" customFormat="false" ht="15" hidden="false" customHeight="true" outlineLevel="0" collapsed="false">
      <c r="A7" s="11" t="s">
        <v>33</v>
      </c>
      <c r="B7" s="12" t="s">
        <v>52</v>
      </c>
      <c r="C7" s="13" t="s">
        <v>41</v>
      </c>
      <c r="D7" s="12" t="s">
        <v>53</v>
      </c>
      <c r="E7" s="12" t="s">
        <v>43</v>
      </c>
      <c r="F7" s="13" t="s">
        <v>44</v>
      </c>
      <c r="G7" s="11" t="n">
        <v>59</v>
      </c>
      <c r="H7" s="11" t="n">
        <v>684</v>
      </c>
      <c r="I7" s="12" t="s">
        <v>45</v>
      </c>
    </row>
    <row r="8" customFormat="false" ht="15" hidden="false" customHeight="true" outlineLevel="0" collapsed="false">
      <c r="A8" s="11" t="s">
        <v>33</v>
      </c>
      <c r="B8" s="12" t="s">
        <v>52</v>
      </c>
      <c r="C8" s="13" t="s">
        <v>50</v>
      </c>
      <c r="D8" s="12" t="s">
        <v>54</v>
      </c>
      <c r="E8" s="12" t="s">
        <v>43</v>
      </c>
      <c r="F8" s="13" t="s">
        <v>44</v>
      </c>
      <c r="G8" s="11" t="n">
        <v>69</v>
      </c>
      <c r="H8" s="11" t="n">
        <v>0</v>
      </c>
      <c r="I8" s="12" t="s">
        <v>45</v>
      </c>
    </row>
    <row r="9" customFormat="false" ht="15" hidden="false" customHeight="true" outlineLevel="0" collapsed="false">
      <c r="A9" s="11" t="s">
        <v>33</v>
      </c>
      <c r="B9" s="12" t="s">
        <v>55</v>
      </c>
      <c r="C9" s="13" t="s">
        <v>41</v>
      </c>
      <c r="D9" s="12" t="s">
        <v>56</v>
      </c>
      <c r="E9" s="12" t="s">
        <v>43</v>
      </c>
      <c r="F9" s="13" t="s">
        <v>57</v>
      </c>
      <c r="G9" s="11" t="n">
        <v>150</v>
      </c>
      <c r="H9" s="11" t="n">
        <v>242</v>
      </c>
      <c r="I9" s="12" t="s">
        <v>58</v>
      </c>
    </row>
    <row r="10" customFormat="false" ht="15" hidden="false" customHeight="true" outlineLevel="0" collapsed="false">
      <c r="A10" s="11" t="s">
        <v>33</v>
      </c>
      <c r="B10" s="12" t="s">
        <v>59</v>
      </c>
      <c r="C10" s="13" t="s">
        <v>60</v>
      </c>
      <c r="D10" s="12" t="s">
        <v>61</v>
      </c>
      <c r="E10" s="12" t="s">
        <v>43</v>
      </c>
      <c r="F10" s="13" t="s">
        <v>62</v>
      </c>
      <c r="G10" s="11" t="n">
        <v>45</v>
      </c>
      <c r="H10" s="11"/>
      <c r="I10" s="12" t="s">
        <v>63</v>
      </c>
    </row>
    <row r="11" customFormat="false" ht="15" hidden="false" customHeight="true" outlineLevel="0" collapsed="false">
      <c r="A11" s="11" t="s">
        <v>33</v>
      </c>
      <c r="B11" s="12" t="s">
        <v>59</v>
      </c>
      <c r="C11" s="13" t="s">
        <v>64</v>
      </c>
      <c r="D11" s="12" t="s">
        <v>61</v>
      </c>
      <c r="E11" s="12" t="s">
        <v>43</v>
      </c>
      <c r="F11" s="13" t="s">
        <v>62</v>
      </c>
      <c r="G11" s="11" t="n">
        <v>52</v>
      </c>
      <c r="H11" s="11"/>
      <c r="I11" s="12" t="s">
        <v>63</v>
      </c>
    </row>
    <row r="12" customFormat="false" ht="15" hidden="false" customHeight="true" outlineLevel="0" collapsed="false">
      <c r="A12" s="11" t="s">
        <v>33</v>
      </c>
      <c r="B12" s="12" t="s">
        <v>65</v>
      </c>
      <c r="C12" s="13" t="s">
        <v>66</v>
      </c>
      <c r="D12" s="12" t="s">
        <v>61</v>
      </c>
      <c r="E12" s="12" t="s">
        <v>43</v>
      </c>
      <c r="F12" s="13" t="s">
        <v>62</v>
      </c>
      <c r="G12" s="11" t="n">
        <v>18</v>
      </c>
      <c r="H12" s="11"/>
      <c r="I12" s="12" t="s">
        <v>63</v>
      </c>
    </row>
    <row r="13" customFormat="false" ht="15" hidden="false" customHeight="true" outlineLevel="0" collapsed="false">
      <c r="A13" s="11" t="s">
        <v>33</v>
      </c>
      <c r="B13" s="12" t="s">
        <v>67</v>
      </c>
      <c r="C13" s="13" t="s">
        <v>41</v>
      </c>
      <c r="D13" s="12" t="s">
        <v>61</v>
      </c>
      <c r="E13" s="12" t="s">
        <v>43</v>
      </c>
      <c r="F13" s="13" t="s">
        <v>62</v>
      </c>
      <c r="G13" s="11" t="n">
        <v>40</v>
      </c>
      <c r="H13" s="11"/>
      <c r="I13" s="12" t="s">
        <v>63</v>
      </c>
    </row>
    <row r="14" customFormat="false" ht="15" hidden="false" customHeight="true" outlineLevel="0" collapsed="false">
      <c r="A14" s="11" t="s">
        <v>33</v>
      </c>
      <c r="B14" s="12" t="s">
        <v>59</v>
      </c>
      <c r="C14" s="13" t="s">
        <v>68</v>
      </c>
      <c r="D14" s="12" t="s">
        <v>61</v>
      </c>
      <c r="E14" s="12" t="s">
        <v>43</v>
      </c>
      <c r="F14" s="13" t="s">
        <v>62</v>
      </c>
      <c r="G14" s="11" t="n">
        <v>42</v>
      </c>
      <c r="H14" s="11"/>
      <c r="I14" s="12" t="s">
        <v>63</v>
      </c>
    </row>
    <row r="15" customFormat="false" ht="15" hidden="false" customHeight="true" outlineLevel="0" collapsed="false">
      <c r="A15" s="11" t="s">
        <v>33</v>
      </c>
      <c r="B15" s="12" t="s">
        <v>69</v>
      </c>
      <c r="C15" s="13" t="s">
        <v>66</v>
      </c>
      <c r="D15" s="12" t="s">
        <v>61</v>
      </c>
      <c r="E15" s="12" t="s">
        <v>43</v>
      </c>
      <c r="F15" s="13" t="s">
        <v>62</v>
      </c>
      <c r="G15" s="11" t="n">
        <v>20</v>
      </c>
      <c r="H15" s="11"/>
      <c r="I15" s="12" t="s">
        <v>63</v>
      </c>
    </row>
    <row r="16" customFormat="false" ht="15" hidden="false" customHeight="true" outlineLevel="0" collapsed="false">
      <c r="A16" s="11" t="s">
        <v>33</v>
      </c>
      <c r="B16" s="12" t="s">
        <v>70</v>
      </c>
      <c r="C16" s="13" t="s">
        <v>41</v>
      </c>
      <c r="D16" s="12" t="s">
        <v>61</v>
      </c>
      <c r="E16" s="12" t="s">
        <v>43</v>
      </c>
      <c r="F16" s="13" t="s">
        <v>62</v>
      </c>
      <c r="G16" s="11" t="n">
        <v>40</v>
      </c>
      <c r="H16" s="11"/>
      <c r="I16" s="12" t="s">
        <v>63</v>
      </c>
    </row>
    <row r="17" customFormat="false" ht="15" hidden="false" customHeight="true" outlineLevel="0" collapsed="false">
      <c r="A17" s="11" t="s">
        <v>33</v>
      </c>
      <c r="B17" s="12" t="s">
        <v>59</v>
      </c>
      <c r="C17" s="13" t="s">
        <v>50</v>
      </c>
      <c r="D17" s="12" t="s">
        <v>61</v>
      </c>
      <c r="E17" s="12" t="s">
        <v>43</v>
      </c>
      <c r="F17" s="13" t="s">
        <v>62</v>
      </c>
      <c r="G17" s="11" t="n">
        <v>47</v>
      </c>
      <c r="H17" s="11"/>
      <c r="I17" s="12" t="s">
        <v>63</v>
      </c>
    </row>
    <row r="18" customFormat="false" ht="15" hidden="false" customHeight="true" outlineLevel="0" collapsed="false">
      <c r="A18" s="11" t="s">
        <v>33</v>
      </c>
      <c r="B18" s="12" t="s">
        <v>59</v>
      </c>
      <c r="C18" s="13" t="s">
        <v>41</v>
      </c>
      <c r="D18" s="12" t="s">
        <v>61</v>
      </c>
      <c r="E18" s="12" t="s">
        <v>43</v>
      </c>
      <c r="F18" s="13" t="s">
        <v>62</v>
      </c>
      <c r="G18" s="11" t="n">
        <v>32</v>
      </c>
      <c r="H18" s="11"/>
      <c r="I18" s="12" t="s">
        <v>63</v>
      </c>
    </row>
    <row r="19" customFormat="false" ht="15" hidden="false" customHeight="true" outlineLevel="0" collapsed="false">
      <c r="A19" s="11" t="s">
        <v>33</v>
      </c>
      <c r="B19" s="12" t="s">
        <v>59</v>
      </c>
      <c r="C19" s="13" t="s">
        <v>71</v>
      </c>
      <c r="D19" s="12" t="s">
        <v>61</v>
      </c>
      <c r="E19" s="12" t="s">
        <v>43</v>
      </c>
      <c r="F19" s="13" t="s">
        <v>62</v>
      </c>
      <c r="G19" s="11" t="n">
        <v>37</v>
      </c>
      <c r="H19" s="11"/>
      <c r="I19" s="12" t="s">
        <v>63</v>
      </c>
    </row>
    <row r="20" customFormat="false" ht="15" hidden="false" customHeight="true" outlineLevel="0" collapsed="false">
      <c r="A20" s="11" t="s">
        <v>33</v>
      </c>
      <c r="B20" s="12" t="s">
        <v>72</v>
      </c>
      <c r="C20" s="13" t="s">
        <v>41</v>
      </c>
      <c r="D20" s="12" t="s">
        <v>73</v>
      </c>
      <c r="E20" s="12" t="s">
        <v>43</v>
      </c>
      <c r="F20" s="13" t="s">
        <v>74</v>
      </c>
      <c r="G20" s="11" t="n">
        <v>18</v>
      </c>
      <c r="H20" s="11" t="n">
        <v>10000</v>
      </c>
      <c r="I20" s="12" t="s">
        <v>75</v>
      </c>
    </row>
    <row r="21" customFormat="false" ht="15" hidden="false" customHeight="true" outlineLevel="0" collapsed="false">
      <c r="A21" s="11" t="s">
        <v>33</v>
      </c>
      <c r="B21" s="12" t="s">
        <v>76</v>
      </c>
      <c r="C21" s="13" t="s">
        <v>66</v>
      </c>
      <c r="D21" s="12" t="s">
        <v>77</v>
      </c>
      <c r="E21" s="12" t="s">
        <v>43</v>
      </c>
      <c r="F21" s="13" t="s">
        <v>78</v>
      </c>
      <c r="G21" s="11" t="n">
        <v>69</v>
      </c>
      <c r="H21" s="11"/>
      <c r="I21" s="12" t="s">
        <v>79</v>
      </c>
    </row>
    <row r="22" customFormat="false" ht="15" hidden="false" customHeight="true" outlineLevel="0" collapsed="false">
      <c r="A22" s="11" t="s">
        <v>33</v>
      </c>
      <c r="B22" s="12" t="s">
        <v>80</v>
      </c>
      <c r="C22" s="13" t="s">
        <v>66</v>
      </c>
      <c r="D22" s="12" t="s">
        <v>77</v>
      </c>
      <c r="E22" s="12" t="s">
        <v>43</v>
      </c>
      <c r="F22" s="13" t="s">
        <v>78</v>
      </c>
      <c r="G22" s="11" t="n">
        <v>69</v>
      </c>
      <c r="H22" s="11"/>
      <c r="I22" s="12" t="s">
        <v>79</v>
      </c>
    </row>
    <row r="23" customFormat="false" ht="15" hidden="false" customHeight="true" outlineLevel="0" collapsed="false">
      <c r="A23" s="11" t="s">
        <v>33</v>
      </c>
      <c r="B23" s="12" t="s">
        <v>81</v>
      </c>
      <c r="C23" s="13" t="s">
        <v>82</v>
      </c>
      <c r="D23" s="12" t="s">
        <v>77</v>
      </c>
      <c r="E23" s="12" t="s">
        <v>43</v>
      </c>
      <c r="F23" s="13" t="s">
        <v>78</v>
      </c>
      <c r="G23" s="11" t="n">
        <v>59</v>
      </c>
      <c r="H23" s="11"/>
      <c r="I23" s="12" t="s">
        <v>79</v>
      </c>
    </row>
    <row r="24" customFormat="false" ht="15" hidden="false" customHeight="true" outlineLevel="0" collapsed="false">
      <c r="A24" s="11" t="s">
        <v>33</v>
      </c>
      <c r="B24" s="12" t="s">
        <v>83</v>
      </c>
      <c r="C24" s="13" t="s">
        <v>84</v>
      </c>
      <c r="D24" s="12" t="s">
        <v>77</v>
      </c>
      <c r="E24" s="12" t="s">
        <v>43</v>
      </c>
      <c r="F24" s="13" t="s">
        <v>78</v>
      </c>
      <c r="G24" s="11" t="n">
        <v>59</v>
      </c>
      <c r="H24" s="11"/>
      <c r="I24" s="12" t="s">
        <v>79</v>
      </c>
    </row>
    <row r="25" customFormat="false" ht="15" hidden="false" customHeight="true" outlineLevel="0" collapsed="false">
      <c r="A25" s="11" t="s">
        <v>85</v>
      </c>
      <c r="B25" s="12" t="s">
        <v>86</v>
      </c>
      <c r="C25" s="13" t="s">
        <v>41</v>
      </c>
      <c r="D25" s="12" t="s">
        <v>87</v>
      </c>
      <c r="E25" s="12" t="s">
        <v>88</v>
      </c>
      <c r="F25" s="13" t="s">
        <v>89</v>
      </c>
      <c r="G25" s="11" t="n">
        <v>25</v>
      </c>
      <c r="H25" s="11" t="n">
        <v>10991</v>
      </c>
      <c r="I25" s="12" t="s">
        <v>90</v>
      </c>
    </row>
    <row r="26" customFormat="false" ht="15" hidden="false" customHeight="true" outlineLevel="0" collapsed="false">
      <c r="A26" s="11" t="s">
        <v>85</v>
      </c>
      <c r="B26" s="12" t="s">
        <v>91</v>
      </c>
      <c r="C26" s="13" t="s">
        <v>41</v>
      </c>
      <c r="D26" s="12" t="s">
        <v>87</v>
      </c>
      <c r="E26" s="12" t="s">
        <v>88</v>
      </c>
      <c r="F26" s="13" t="s">
        <v>89</v>
      </c>
      <c r="G26" s="11" t="n">
        <v>30</v>
      </c>
      <c r="H26" s="11" t="n">
        <v>3267</v>
      </c>
      <c r="I26" s="12" t="s">
        <v>92</v>
      </c>
    </row>
    <row r="27" customFormat="false" ht="15" hidden="false" customHeight="true" outlineLevel="0" collapsed="false">
      <c r="A27" s="11" t="s">
        <v>85</v>
      </c>
      <c r="B27" s="12" t="s">
        <v>59</v>
      </c>
      <c r="C27" s="13" t="s">
        <v>71</v>
      </c>
      <c r="D27" s="12" t="s">
        <v>87</v>
      </c>
      <c r="E27" s="12" t="s">
        <v>88</v>
      </c>
      <c r="F27" s="13" t="s">
        <v>89</v>
      </c>
      <c r="G27" s="11" t="n">
        <v>35</v>
      </c>
      <c r="H27" s="11" t="n">
        <v>1485</v>
      </c>
      <c r="I27" s="12" t="s">
        <v>93</v>
      </c>
    </row>
    <row r="28" customFormat="false" ht="15" hidden="false" customHeight="true" outlineLevel="0" collapsed="false">
      <c r="A28" s="11" t="s">
        <v>85</v>
      </c>
      <c r="B28" s="12" t="s">
        <v>59</v>
      </c>
      <c r="C28" s="13" t="s">
        <v>68</v>
      </c>
      <c r="D28" s="12" t="s">
        <v>87</v>
      </c>
      <c r="E28" s="12" t="s">
        <v>88</v>
      </c>
      <c r="F28" s="13" t="s">
        <v>89</v>
      </c>
      <c r="G28" s="11" t="n">
        <v>50</v>
      </c>
      <c r="H28" s="11" t="n">
        <v>198</v>
      </c>
      <c r="I28" s="12" t="s">
        <v>94</v>
      </c>
    </row>
    <row r="29" customFormat="false" ht="15" hidden="false" customHeight="true" outlineLevel="0" collapsed="false">
      <c r="A29" s="11" t="s">
        <v>85</v>
      </c>
      <c r="B29" s="12" t="s">
        <v>59</v>
      </c>
      <c r="C29" s="13" t="s">
        <v>60</v>
      </c>
      <c r="D29" s="12" t="s">
        <v>87</v>
      </c>
      <c r="E29" s="12" t="s">
        <v>88</v>
      </c>
      <c r="F29" s="13" t="s">
        <v>89</v>
      </c>
      <c r="G29" s="11" t="n">
        <v>55</v>
      </c>
      <c r="H29" s="11" t="n">
        <v>1089</v>
      </c>
      <c r="I29" s="12" t="s">
        <v>95</v>
      </c>
    </row>
    <row r="30" customFormat="false" ht="15" hidden="false" customHeight="true" outlineLevel="0" collapsed="false">
      <c r="A30" s="11" t="s">
        <v>85</v>
      </c>
      <c r="B30" s="12" t="s">
        <v>59</v>
      </c>
      <c r="C30" s="13" t="s">
        <v>50</v>
      </c>
      <c r="D30" s="12" t="s">
        <v>87</v>
      </c>
      <c r="E30" s="12" t="s">
        <v>88</v>
      </c>
      <c r="F30" s="13" t="s">
        <v>89</v>
      </c>
      <c r="G30" s="11" t="n">
        <v>60</v>
      </c>
      <c r="H30" s="11" t="n">
        <v>1881</v>
      </c>
      <c r="I30" s="12" t="s">
        <v>96</v>
      </c>
    </row>
    <row r="31" customFormat="false" ht="15" hidden="false" customHeight="true" outlineLevel="0" collapsed="false">
      <c r="A31" s="11" t="s">
        <v>85</v>
      </c>
      <c r="B31" s="12" t="s">
        <v>59</v>
      </c>
      <c r="C31" s="13" t="s">
        <v>64</v>
      </c>
      <c r="D31" s="12" t="s">
        <v>87</v>
      </c>
      <c r="E31" s="12" t="s">
        <v>88</v>
      </c>
      <c r="F31" s="13" t="s">
        <v>89</v>
      </c>
      <c r="G31" s="11" t="n">
        <v>65</v>
      </c>
      <c r="H31" s="11" t="n">
        <v>990</v>
      </c>
      <c r="I31" s="12" t="s">
        <v>97</v>
      </c>
    </row>
    <row r="32" customFormat="false" ht="15" hidden="false" customHeight="true" outlineLevel="0" collapsed="false">
      <c r="A32" s="11" t="s">
        <v>85</v>
      </c>
      <c r="B32" s="12" t="s">
        <v>59</v>
      </c>
      <c r="C32" s="13" t="s">
        <v>98</v>
      </c>
      <c r="D32" s="12" t="s">
        <v>87</v>
      </c>
      <c r="E32" s="12" t="s">
        <v>88</v>
      </c>
      <c r="F32" s="13" t="s">
        <v>89</v>
      </c>
      <c r="G32" s="11" t="n">
        <v>75</v>
      </c>
      <c r="H32" s="11" t="n">
        <v>99</v>
      </c>
      <c r="I32" s="12" t="s">
        <v>99</v>
      </c>
    </row>
    <row r="33" customFormat="false" ht="15" hidden="false" customHeight="true" outlineLevel="0" collapsed="false">
      <c r="A33" s="11" t="s">
        <v>85</v>
      </c>
      <c r="B33" s="12" t="s">
        <v>72</v>
      </c>
      <c r="C33" s="13" t="s">
        <v>41</v>
      </c>
      <c r="D33" s="13" t="s">
        <v>100</v>
      </c>
      <c r="E33" s="12" t="s">
        <v>88</v>
      </c>
      <c r="F33" s="13" t="s">
        <v>101</v>
      </c>
      <c r="G33" s="11" t="n">
        <v>15</v>
      </c>
      <c r="H33" s="11" t="n">
        <v>20000</v>
      </c>
      <c r="I33" s="12" t="s">
        <v>102</v>
      </c>
    </row>
    <row r="34" customFormat="false" ht="15" hidden="false" customHeight="true" outlineLevel="0" collapsed="false">
      <c r="A34" s="11" t="s">
        <v>85</v>
      </c>
      <c r="B34" s="12" t="s">
        <v>103</v>
      </c>
      <c r="C34" s="13" t="s">
        <v>66</v>
      </c>
      <c r="D34" s="12" t="s">
        <v>104</v>
      </c>
      <c r="E34" s="12" t="s">
        <v>88</v>
      </c>
      <c r="F34" s="13" t="s">
        <v>105</v>
      </c>
      <c r="G34" s="11" t="n">
        <v>60</v>
      </c>
      <c r="H34" s="11" t="n">
        <v>77</v>
      </c>
      <c r="I34" s="12" t="s">
        <v>106</v>
      </c>
    </row>
    <row r="35" customFormat="false" ht="15" hidden="false" customHeight="true" outlineLevel="0" collapsed="false">
      <c r="A35" s="11"/>
      <c r="B35" s="13"/>
      <c r="C35" s="13"/>
      <c r="D35" s="13"/>
      <c r="E35" s="13"/>
      <c r="F35" s="13"/>
      <c r="G35" s="11"/>
      <c r="H35" s="11"/>
      <c r="I35" s="13"/>
    </row>
    <row r="36" customFormat="false" ht="15" hidden="false" customHeight="true" outlineLevel="0" collapsed="false">
      <c r="A36" s="11"/>
      <c r="B36" s="13"/>
      <c r="C36" s="13"/>
      <c r="D36" s="13"/>
      <c r="E36" s="13"/>
      <c r="F36" s="13"/>
      <c r="G36" s="11"/>
      <c r="H36" s="11"/>
      <c r="I36" s="13"/>
    </row>
    <row r="37" customFormat="false" ht="15" hidden="false" customHeight="true" outlineLevel="0" collapsed="false">
      <c r="A37" s="11"/>
      <c r="B37" s="13"/>
      <c r="C37" s="13"/>
      <c r="D37" s="13"/>
      <c r="E37" s="13"/>
      <c r="F37" s="13"/>
      <c r="G37" s="11"/>
      <c r="H37" s="11"/>
      <c r="I37" s="13"/>
    </row>
    <row r="38" customFormat="false" ht="15" hidden="false" customHeight="true" outlineLevel="0" collapsed="false">
      <c r="A38" s="11"/>
      <c r="B38" s="13"/>
      <c r="C38" s="13"/>
      <c r="D38" s="13"/>
      <c r="E38" s="13"/>
      <c r="F38" s="13"/>
      <c r="G38" s="11"/>
      <c r="H38" s="11"/>
      <c r="I38" s="13"/>
    </row>
    <row r="39" customFormat="false" ht="15" hidden="false" customHeight="true" outlineLevel="0" collapsed="false">
      <c r="A39" s="11"/>
      <c r="B39" s="13"/>
      <c r="C39" s="13"/>
      <c r="D39" s="13"/>
      <c r="E39" s="13"/>
      <c r="F39" s="13"/>
      <c r="G39" s="11"/>
      <c r="H39" s="11"/>
      <c r="I39" s="13"/>
    </row>
    <row r="40" customFormat="false" ht="15" hidden="false" customHeight="true" outlineLevel="0" collapsed="false">
      <c r="A40" s="11"/>
      <c r="B40" s="13"/>
      <c r="C40" s="13"/>
      <c r="D40" s="13"/>
      <c r="E40" s="13"/>
      <c r="F40" s="13"/>
      <c r="G40" s="11"/>
      <c r="H40" s="11"/>
      <c r="I40" s="13"/>
    </row>
    <row r="41" customFormat="false" ht="15" hidden="false" customHeight="true" outlineLevel="0" collapsed="false">
      <c r="A41" s="11"/>
      <c r="B41" s="13"/>
      <c r="C41" s="13"/>
      <c r="D41" s="13"/>
      <c r="E41" s="13"/>
      <c r="F41" s="13"/>
      <c r="G41" s="11"/>
      <c r="H41" s="11"/>
      <c r="I41" s="13"/>
    </row>
    <row r="42" customFormat="false" ht="15" hidden="false" customHeight="true" outlineLevel="0" collapsed="false">
      <c r="A42" s="11"/>
      <c r="B42" s="13"/>
      <c r="C42" s="13"/>
      <c r="D42" s="13"/>
      <c r="E42" s="13"/>
      <c r="F42" s="13"/>
      <c r="G42" s="11"/>
      <c r="H42" s="11"/>
      <c r="I42" s="13"/>
    </row>
    <row r="43" customFormat="false" ht="15" hidden="false" customHeight="true" outlineLevel="0" collapsed="false">
      <c r="A43" s="11"/>
      <c r="B43" s="13"/>
      <c r="C43" s="13"/>
      <c r="D43" s="13"/>
      <c r="E43" s="13"/>
      <c r="F43" s="13"/>
      <c r="G43" s="11"/>
      <c r="H43" s="11"/>
      <c r="I43" s="13"/>
    </row>
    <row r="44" customFormat="false" ht="15" hidden="false" customHeight="true" outlineLevel="0" collapsed="false">
      <c r="A44" s="11"/>
      <c r="B44" s="13"/>
      <c r="C44" s="13"/>
      <c r="D44" s="13"/>
      <c r="E44" s="13"/>
      <c r="F44" s="13"/>
      <c r="G44" s="11"/>
      <c r="H44" s="11"/>
      <c r="I44" s="13"/>
    </row>
    <row r="45" customFormat="false" ht="15" hidden="false" customHeight="true" outlineLevel="0" collapsed="false">
      <c r="A45" s="11"/>
      <c r="B45" s="13"/>
      <c r="C45" s="13"/>
      <c r="D45" s="13"/>
      <c r="E45" s="13"/>
      <c r="F45" s="13"/>
      <c r="G45" s="11"/>
      <c r="H45" s="11"/>
      <c r="I45" s="13"/>
    </row>
    <row r="46" customFormat="false" ht="15" hidden="false" customHeight="true" outlineLevel="0" collapsed="false">
      <c r="A46" s="11"/>
      <c r="B46" s="13"/>
      <c r="C46" s="13"/>
      <c r="D46" s="13"/>
      <c r="E46" s="13"/>
      <c r="F46" s="13"/>
      <c r="G46" s="11"/>
      <c r="H46" s="11"/>
      <c r="I46" s="13"/>
    </row>
    <row r="47" customFormat="false" ht="15" hidden="false" customHeight="true" outlineLevel="0" collapsed="false">
      <c r="A47" s="11"/>
      <c r="B47" s="13"/>
      <c r="C47" s="13"/>
      <c r="D47" s="13"/>
      <c r="E47" s="13"/>
      <c r="F47" s="13"/>
      <c r="G47" s="11"/>
      <c r="H47" s="11"/>
      <c r="I47" s="13"/>
    </row>
    <row r="48" customFormat="false" ht="15" hidden="false" customHeight="true" outlineLevel="0" collapsed="false">
      <c r="A48" s="11"/>
      <c r="B48" s="13"/>
      <c r="C48" s="13"/>
      <c r="D48" s="13"/>
      <c r="E48" s="13"/>
      <c r="F48" s="13"/>
      <c r="G48" s="11"/>
      <c r="H48" s="11"/>
      <c r="I48" s="13"/>
    </row>
    <row r="49" customFormat="false" ht="15" hidden="false" customHeight="true" outlineLevel="0" collapsed="false">
      <c r="A49" s="11"/>
      <c r="B49" s="13"/>
      <c r="C49" s="13"/>
      <c r="D49" s="13"/>
      <c r="E49" s="13"/>
      <c r="F49" s="13"/>
      <c r="G49" s="11"/>
      <c r="H49" s="11"/>
      <c r="I49" s="13"/>
    </row>
    <row r="50" customFormat="false" ht="15" hidden="false" customHeight="true" outlineLevel="0" collapsed="false">
      <c r="A50" s="11"/>
      <c r="B50" s="13"/>
      <c r="C50" s="13"/>
      <c r="D50" s="13"/>
      <c r="E50" s="13"/>
      <c r="F50" s="13"/>
      <c r="G50" s="11"/>
      <c r="H50" s="11"/>
      <c r="I50" s="13"/>
    </row>
    <row r="51" customFormat="false" ht="15" hidden="false" customHeight="true" outlineLevel="0" collapsed="false">
      <c r="A51" s="11"/>
      <c r="B51" s="13"/>
      <c r="C51" s="13"/>
      <c r="D51" s="13"/>
      <c r="E51" s="13"/>
      <c r="F51" s="13"/>
      <c r="G51" s="11"/>
      <c r="H51" s="11"/>
      <c r="I51" s="13"/>
    </row>
    <row r="52" customFormat="false" ht="15" hidden="false" customHeight="true" outlineLevel="0" collapsed="false">
      <c r="A52" s="11"/>
      <c r="B52" s="13"/>
      <c r="C52" s="13"/>
      <c r="D52" s="13"/>
      <c r="E52" s="13"/>
      <c r="F52" s="13"/>
      <c r="G52" s="11"/>
      <c r="H52" s="11"/>
      <c r="I52" s="13"/>
    </row>
    <row r="53" customFormat="false" ht="15" hidden="false" customHeight="true" outlineLevel="0" collapsed="false">
      <c r="A53" s="11"/>
      <c r="B53" s="13"/>
      <c r="C53" s="13"/>
      <c r="D53" s="13"/>
      <c r="E53" s="13"/>
      <c r="F53" s="13"/>
      <c r="G53" s="11"/>
      <c r="H53" s="11"/>
      <c r="I53" s="13"/>
    </row>
    <row r="54" customFormat="false" ht="15" hidden="false" customHeight="true" outlineLevel="0" collapsed="false">
      <c r="A54" s="11"/>
      <c r="B54" s="13"/>
      <c r="C54" s="13"/>
      <c r="D54" s="13"/>
      <c r="E54" s="13"/>
      <c r="F54" s="13"/>
      <c r="G54" s="11"/>
      <c r="H54" s="11"/>
      <c r="I54" s="13"/>
    </row>
    <row r="55" customFormat="false" ht="15" hidden="false" customHeight="true" outlineLevel="0" collapsed="false">
      <c r="A55" s="11"/>
      <c r="B55" s="13"/>
      <c r="C55" s="13"/>
      <c r="D55" s="13"/>
      <c r="E55" s="13"/>
      <c r="F55" s="13"/>
      <c r="G55" s="11"/>
      <c r="H55" s="11"/>
      <c r="I55" s="13"/>
    </row>
    <row r="56" customFormat="false" ht="15" hidden="false" customHeight="true" outlineLevel="0" collapsed="false">
      <c r="A56" s="11"/>
      <c r="B56" s="13"/>
      <c r="C56" s="13"/>
      <c r="D56" s="13"/>
      <c r="E56" s="13"/>
      <c r="F56" s="13"/>
      <c r="G56" s="11"/>
      <c r="H56" s="11"/>
      <c r="I56" s="13"/>
    </row>
    <row r="57" customFormat="false" ht="15" hidden="false" customHeight="true" outlineLevel="0" collapsed="false">
      <c r="A57" s="11"/>
      <c r="B57" s="13"/>
      <c r="C57" s="13"/>
      <c r="D57" s="13"/>
      <c r="E57" s="13"/>
      <c r="F57" s="13"/>
      <c r="G57" s="11"/>
      <c r="H57" s="11"/>
      <c r="I57" s="13"/>
    </row>
    <row r="58" customFormat="false" ht="15" hidden="false" customHeight="true" outlineLevel="0" collapsed="false">
      <c r="A58" s="11"/>
      <c r="B58" s="13"/>
      <c r="C58" s="13"/>
      <c r="D58" s="13"/>
      <c r="E58" s="13"/>
      <c r="F58" s="13"/>
      <c r="G58" s="11"/>
      <c r="H58" s="11"/>
      <c r="I58" s="13"/>
    </row>
    <row r="59" customFormat="false" ht="15" hidden="false" customHeight="true" outlineLevel="0" collapsed="false">
      <c r="A59" s="11"/>
      <c r="B59" s="13"/>
      <c r="C59" s="13"/>
      <c r="D59" s="13"/>
      <c r="E59" s="13"/>
      <c r="F59" s="13"/>
      <c r="G59" s="11"/>
      <c r="H59" s="11"/>
      <c r="I59" s="13"/>
    </row>
    <row r="60" customFormat="false" ht="15" hidden="false" customHeight="true" outlineLevel="0" collapsed="false">
      <c r="A60" s="11"/>
      <c r="B60" s="13"/>
      <c r="C60" s="13"/>
      <c r="D60" s="13"/>
      <c r="E60" s="13"/>
      <c r="F60" s="13"/>
      <c r="G60" s="11"/>
      <c r="H60" s="11"/>
      <c r="I60" s="13"/>
    </row>
    <row r="61" customFormat="false" ht="15" hidden="false" customHeight="true" outlineLevel="0" collapsed="false">
      <c r="A61" s="11"/>
      <c r="B61" s="13"/>
      <c r="C61" s="13"/>
      <c r="D61" s="13"/>
      <c r="E61" s="13"/>
      <c r="F61" s="13"/>
      <c r="G61" s="11"/>
      <c r="H61" s="11"/>
      <c r="I61" s="13"/>
    </row>
    <row r="62" customFormat="false" ht="15" hidden="false" customHeight="true" outlineLevel="0" collapsed="false">
      <c r="A62" s="11"/>
      <c r="B62" s="13"/>
      <c r="C62" s="13"/>
      <c r="D62" s="13"/>
      <c r="E62" s="13"/>
      <c r="F62" s="13"/>
      <c r="G62" s="11"/>
      <c r="H62" s="11"/>
      <c r="I62" s="13"/>
    </row>
    <row r="63" customFormat="false" ht="15" hidden="false" customHeight="true" outlineLevel="0" collapsed="false">
      <c r="A63" s="11"/>
      <c r="B63" s="13"/>
      <c r="C63" s="13"/>
      <c r="D63" s="13"/>
      <c r="E63" s="13"/>
      <c r="F63" s="13"/>
      <c r="G63" s="11"/>
      <c r="H63" s="11"/>
      <c r="I63" s="13"/>
    </row>
    <row r="64" customFormat="false" ht="15" hidden="false" customHeight="true" outlineLevel="0" collapsed="false">
      <c r="A64" s="11"/>
      <c r="B64" s="13"/>
      <c r="C64" s="13"/>
      <c r="D64" s="13"/>
      <c r="E64" s="13"/>
      <c r="F64" s="13"/>
      <c r="G64" s="11"/>
      <c r="H64" s="11"/>
      <c r="I64" s="13"/>
    </row>
    <row r="65" customFormat="false" ht="15" hidden="false" customHeight="true" outlineLevel="0" collapsed="false">
      <c r="A65" s="11"/>
      <c r="B65" s="13"/>
      <c r="C65" s="13"/>
      <c r="D65" s="13"/>
      <c r="E65" s="13"/>
      <c r="F65" s="13"/>
      <c r="G65" s="11"/>
      <c r="H65" s="11"/>
      <c r="I65" s="13"/>
    </row>
    <row r="66" customFormat="false" ht="15" hidden="false" customHeight="true" outlineLevel="0" collapsed="false">
      <c r="A66" s="11"/>
      <c r="B66" s="13"/>
      <c r="C66" s="13"/>
      <c r="D66" s="13"/>
      <c r="E66" s="13"/>
      <c r="F66" s="13"/>
      <c r="G66" s="11"/>
      <c r="H66" s="11"/>
      <c r="I66" s="13"/>
    </row>
    <row r="67" customFormat="false" ht="15" hidden="false" customHeight="true" outlineLevel="0" collapsed="false">
      <c r="A67" s="11"/>
      <c r="B67" s="13"/>
      <c r="C67" s="13"/>
      <c r="D67" s="13"/>
      <c r="E67" s="13"/>
      <c r="F67" s="13"/>
      <c r="G67" s="11"/>
      <c r="H67" s="11"/>
      <c r="I67" s="13"/>
    </row>
    <row r="68" customFormat="false" ht="15" hidden="false" customHeight="true" outlineLevel="0" collapsed="false">
      <c r="A68" s="11"/>
      <c r="B68" s="13"/>
      <c r="C68" s="13"/>
      <c r="D68" s="13"/>
      <c r="E68" s="13"/>
      <c r="F68" s="13"/>
      <c r="G68" s="11"/>
      <c r="H68" s="11"/>
      <c r="I68" s="13"/>
    </row>
    <row r="69" customFormat="false" ht="15" hidden="false" customHeight="true" outlineLevel="0" collapsed="false">
      <c r="A69" s="11"/>
      <c r="B69" s="13"/>
      <c r="C69" s="13"/>
      <c r="D69" s="13"/>
      <c r="E69" s="13"/>
      <c r="F69" s="13"/>
      <c r="G69" s="11"/>
      <c r="H69" s="11"/>
      <c r="I69" s="13"/>
    </row>
    <row r="70" customFormat="false" ht="15" hidden="false" customHeight="true" outlineLevel="0" collapsed="false">
      <c r="A70" s="11"/>
      <c r="B70" s="13"/>
      <c r="C70" s="13"/>
      <c r="D70" s="13"/>
      <c r="E70" s="13"/>
      <c r="F70" s="13"/>
      <c r="G70" s="11"/>
      <c r="H70" s="11"/>
      <c r="I70" s="13"/>
    </row>
    <row r="71" customFormat="false" ht="15" hidden="false" customHeight="true" outlineLevel="0" collapsed="false">
      <c r="A71" s="11"/>
      <c r="B71" s="13"/>
      <c r="C71" s="13"/>
      <c r="D71" s="13"/>
      <c r="E71" s="13"/>
      <c r="F71" s="13"/>
      <c r="G71" s="11"/>
      <c r="H71" s="11"/>
      <c r="I71" s="13"/>
    </row>
    <row r="72" customFormat="false" ht="15" hidden="false" customHeight="true" outlineLevel="0" collapsed="false">
      <c r="A72" s="11"/>
      <c r="B72" s="13"/>
      <c r="C72" s="13"/>
      <c r="D72" s="13"/>
      <c r="E72" s="13"/>
      <c r="F72" s="13"/>
      <c r="G72" s="11"/>
      <c r="H72" s="11"/>
      <c r="I72" s="13"/>
    </row>
    <row r="73" customFormat="false" ht="15" hidden="false" customHeight="true" outlineLevel="0" collapsed="false">
      <c r="A73" s="11"/>
      <c r="B73" s="13"/>
      <c r="C73" s="13"/>
      <c r="D73" s="13"/>
      <c r="E73" s="13"/>
      <c r="F73" s="13"/>
      <c r="G73" s="11"/>
      <c r="H73" s="11"/>
      <c r="I73" s="13"/>
    </row>
    <row r="74" customFormat="false" ht="15" hidden="false" customHeight="true" outlineLevel="0" collapsed="false">
      <c r="A74" s="11"/>
      <c r="B74" s="13"/>
      <c r="C74" s="13"/>
      <c r="D74" s="13"/>
      <c r="E74" s="13"/>
      <c r="F74" s="13"/>
      <c r="G74" s="11"/>
      <c r="H74" s="11"/>
      <c r="I74" s="13"/>
    </row>
    <row r="75" customFormat="false" ht="15" hidden="false" customHeight="true" outlineLevel="0" collapsed="false">
      <c r="A75" s="11"/>
      <c r="B75" s="13"/>
      <c r="C75" s="13"/>
      <c r="D75" s="13"/>
      <c r="E75" s="13"/>
      <c r="F75" s="13"/>
      <c r="G75" s="11"/>
      <c r="H75" s="11"/>
      <c r="I75" s="13"/>
    </row>
    <row r="76" customFormat="false" ht="15" hidden="false" customHeight="true" outlineLevel="0" collapsed="false">
      <c r="A76" s="11"/>
      <c r="B76" s="13"/>
      <c r="C76" s="13"/>
      <c r="D76" s="13"/>
      <c r="E76" s="13"/>
      <c r="F76" s="13"/>
      <c r="G76" s="11"/>
      <c r="H76" s="11"/>
      <c r="I76" s="13"/>
    </row>
    <row r="77" customFormat="false" ht="15" hidden="false" customHeight="true" outlineLevel="0" collapsed="false">
      <c r="A77" s="11"/>
      <c r="B77" s="13"/>
      <c r="C77" s="13"/>
      <c r="D77" s="13"/>
      <c r="E77" s="13"/>
      <c r="F77" s="13"/>
      <c r="G77" s="11"/>
      <c r="H77" s="11"/>
      <c r="I77" s="13"/>
    </row>
    <row r="78" customFormat="false" ht="15" hidden="false" customHeight="true" outlineLevel="0" collapsed="false">
      <c r="A78" s="11"/>
      <c r="B78" s="13"/>
      <c r="C78" s="13"/>
      <c r="D78" s="13"/>
      <c r="E78" s="13"/>
      <c r="F78" s="13"/>
      <c r="G78" s="11"/>
      <c r="H78" s="11"/>
      <c r="I78" s="13"/>
    </row>
    <row r="79" customFormat="false" ht="15" hidden="false" customHeight="true" outlineLevel="0" collapsed="false">
      <c r="A79" s="11"/>
      <c r="B79" s="13"/>
      <c r="C79" s="13"/>
      <c r="D79" s="13"/>
      <c r="E79" s="13"/>
      <c r="F79" s="13"/>
      <c r="G79" s="11"/>
      <c r="H79" s="11"/>
      <c r="I79" s="13"/>
    </row>
    <row r="80" customFormat="false" ht="15" hidden="false" customHeight="true" outlineLevel="0" collapsed="false">
      <c r="A80" s="11"/>
      <c r="B80" s="13"/>
      <c r="C80" s="13"/>
      <c r="D80" s="13"/>
      <c r="E80" s="13"/>
      <c r="F80" s="13"/>
      <c r="G80" s="11"/>
      <c r="H80" s="11"/>
      <c r="I80" s="13"/>
    </row>
    <row r="81" customFormat="false" ht="15" hidden="false" customHeight="true" outlineLevel="0" collapsed="false">
      <c r="A81" s="11"/>
      <c r="B81" s="13"/>
      <c r="C81" s="13"/>
      <c r="D81" s="13"/>
      <c r="E81" s="13"/>
      <c r="F81" s="13"/>
      <c r="G81" s="11"/>
      <c r="H81" s="11"/>
      <c r="I81" s="13"/>
    </row>
    <row r="82" customFormat="false" ht="15" hidden="false" customHeight="true" outlineLevel="0" collapsed="false">
      <c r="A82" s="11"/>
      <c r="B82" s="13"/>
      <c r="C82" s="13"/>
      <c r="D82" s="13"/>
      <c r="E82" s="13"/>
      <c r="F82" s="13"/>
      <c r="G82" s="11"/>
      <c r="H82" s="11"/>
      <c r="I82" s="13"/>
    </row>
    <row r="83" customFormat="false" ht="15" hidden="false" customHeight="true" outlineLevel="0" collapsed="false">
      <c r="A83" s="11"/>
      <c r="B83" s="13"/>
      <c r="C83" s="13"/>
      <c r="D83" s="13"/>
      <c r="E83" s="13"/>
      <c r="F83" s="13"/>
      <c r="G83" s="11"/>
      <c r="H83" s="11"/>
      <c r="I83" s="13"/>
    </row>
    <row r="84" customFormat="false" ht="15" hidden="false" customHeight="true" outlineLevel="0" collapsed="false">
      <c r="A84" s="11"/>
      <c r="B84" s="13"/>
      <c r="C84" s="13"/>
      <c r="D84" s="13"/>
      <c r="E84" s="13"/>
      <c r="F84" s="13"/>
      <c r="G84" s="11"/>
      <c r="H84" s="11"/>
      <c r="I84" s="13"/>
    </row>
    <row r="85" customFormat="false" ht="15" hidden="false" customHeight="true" outlineLevel="0" collapsed="false">
      <c r="A85" s="11"/>
      <c r="B85" s="13"/>
      <c r="C85" s="13"/>
      <c r="D85" s="13"/>
      <c r="E85" s="13"/>
      <c r="F85" s="13"/>
      <c r="G85" s="11"/>
      <c r="H85" s="11"/>
      <c r="I85" s="13"/>
    </row>
    <row r="86" customFormat="false" ht="15" hidden="false" customHeight="true" outlineLevel="0" collapsed="false">
      <c r="A86" s="11"/>
      <c r="B86" s="13"/>
      <c r="C86" s="13"/>
      <c r="D86" s="13"/>
      <c r="E86" s="13"/>
      <c r="F86" s="13"/>
      <c r="G86" s="11"/>
      <c r="H86" s="11"/>
      <c r="I86" s="13"/>
    </row>
    <row r="87" customFormat="false" ht="15" hidden="false" customHeight="true" outlineLevel="0" collapsed="false">
      <c r="A87" s="11"/>
      <c r="B87" s="13"/>
      <c r="C87" s="13"/>
      <c r="D87" s="13"/>
      <c r="E87" s="13"/>
      <c r="F87" s="13"/>
      <c r="G87" s="11"/>
      <c r="H87" s="11"/>
      <c r="I87" s="13"/>
    </row>
    <row r="88" customFormat="false" ht="15" hidden="false" customHeight="true" outlineLevel="0" collapsed="false">
      <c r="A88" s="11"/>
      <c r="B88" s="13"/>
      <c r="C88" s="13"/>
      <c r="D88" s="13"/>
      <c r="E88" s="13"/>
      <c r="F88" s="13"/>
      <c r="G88" s="11"/>
      <c r="H88" s="11"/>
      <c r="I88" s="13"/>
    </row>
    <row r="89" customFormat="false" ht="15" hidden="false" customHeight="true" outlineLevel="0" collapsed="false">
      <c r="A89" s="11"/>
      <c r="B89" s="13"/>
      <c r="C89" s="13"/>
      <c r="D89" s="13"/>
      <c r="E89" s="13"/>
      <c r="F89" s="13"/>
      <c r="G89" s="11"/>
      <c r="H89" s="11"/>
      <c r="I89" s="13"/>
    </row>
    <row r="90" customFormat="false" ht="15" hidden="false" customHeight="true" outlineLevel="0" collapsed="false">
      <c r="A90" s="11"/>
      <c r="B90" s="13"/>
      <c r="C90" s="13"/>
      <c r="D90" s="13"/>
      <c r="E90" s="13"/>
      <c r="F90" s="13"/>
      <c r="G90" s="11"/>
      <c r="H90" s="11"/>
      <c r="I90" s="13"/>
    </row>
    <row r="91" customFormat="false" ht="15" hidden="false" customHeight="true" outlineLevel="0" collapsed="false">
      <c r="A91" s="11"/>
      <c r="B91" s="13"/>
      <c r="C91" s="13"/>
      <c r="D91" s="13"/>
      <c r="E91" s="13"/>
      <c r="F91" s="13"/>
      <c r="G91" s="11"/>
      <c r="H91" s="11"/>
      <c r="I91" s="13"/>
    </row>
    <row r="92" customFormat="false" ht="15" hidden="false" customHeight="true" outlineLevel="0" collapsed="false">
      <c r="A92" s="11"/>
      <c r="B92" s="13"/>
      <c r="C92" s="13"/>
      <c r="D92" s="13"/>
      <c r="E92" s="13"/>
      <c r="F92" s="13"/>
      <c r="G92" s="11"/>
      <c r="H92" s="11"/>
      <c r="I92" s="13"/>
    </row>
    <row r="93" customFormat="false" ht="15" hidden="false" customHeight="true" outlineLevel="0" collapsed="false">
      <c r="A93" s="11"/>
      <c r="B93" s="13"/>
      <c r="C93" s="13"/>
      <c r="D93" s="13"/>
      <c r="E93" s="13"/>
      <c r="F93" s="13"/>
      <c r="G93" s="11"/>
      <c r="H93" s="11"/>
      <c r="I93" s="13"/>
    </row>
    <row r="94" customFormat="false" ht="15" hidden="false" customHeight="true" outlineLevel="0" collapsed="false">
      <c r="A94" s="11"/>
      <c r="B94" s="13"/>
      <c r="C94" s="13"/>
      <c r="D94" s="13"/>
      <c r="E94" s="13"/>
      <c r="F94" s="13"/>
      <c r="G94" s="11"/>
      <c r="H94" s="11"/>
      <c r="I94" s="13"/>
    </row>
    <row r="95" customFormat="false" ht="15" hidden="false" customHeight="true" outlineLevel="0" collapsed="false">
      <c r="A95" s="11"/>
      <c r="B95" s="13"/>
      <c r="C95" s="13"/>
      <c r="D95" s="13"/>
      <c r="E95" s="13"/>
      <c r="F95" s="13"/>
      <c r="G95" s="11"/>
      <c r="H95" s="11"/>
      <c r="I95" s="13"/>
    </row>
    <row r="96" customFormat="false" ht="15" hidden="false" customHeight="true" outlineLevel="0" collapsed="false">
      <c r="A96" s="11"/>
      <c r="B96" s="13"/>
      <c r="C96" s="13"/>
      <c r="D96" s="13"/>
      <c r="E96" s="13"/>
      <c r="F96" s="13"/>
      <c r="G96" s="11"/>
      <c r="H96" s="11"/>
      <c r="I96" s="13"/>
    </row>
    <row r="97" customFormat="false" ht="15" hidden="false" customHeight="true" outlineLevel="0" collapsed="false">
      <c r="A97" s="11"/>
      <c r="B97" s="13"/>
      <c r="C97" s="13"/>
      <c r="D97" s="13"/>
      <c r="E97" s="13"/>
      <c r="F97" s="13"/>
      <c r="G97" s="11"/>
      <c r="H97" s="11"/>
      <c r="I97" s="13"/>
    </row>
    <row r="98" customFormat="false" ht="15" hidden="false" customHeight="true" outlineLevel="0" collapsed="false">
      <c r="A98" s="11"/>
      <c r="B98" s="13"/>
      <c r="C98" s="13"/>
      <c r="D98" s="13"/>
      <c r="E98" s="13"/>
      <c r="F98" s="13"/>
      <c r="G98" s="11"/>
      <c r="H98" s="11"/>
      <c r="I98" s="13"/>
    </row>
    <row r="99" customFormat="false" ht="15" hidden="false" customHeight="true" outlineLevel="0" collapsed="false">
      <c r="A99" s="11"/>
      <c r="B99" s="13"/>
      <c r="C99" s="13"/>
      <c r="D99" s="13"/>
      <c r="E99" s="13"/>
      <c r="F99" s="13"/>
      <c r="G99" s="11"/>
      <c r="H99" s="11"/>
      <c r="I99" s="13"/>
    </row>
    <row r="100" customFormat="false" ht="15" hidden="false" customHeight="true" outlineLevel="0" collapsed="false">
      <c r="A100" s="11"/>
      <c r="B100" s="13"/>
      <c r="C100" s="13"/>
      <c r="D100" s="13"/>
      <c r="E100" s="13"/>
      <c r="F100" s="13"/>
      <c r="G100" s="11"/>
      <c r="H100" s="11"/>
      <c r="I100" s="13"/>
    </row>
    <row r="101" customFormat="false" ht="15" hidden="false" customHeight="true" outlineLevel="0" collapsed="false">
      <c r="A101" s="11"/>
      <c r="B101" s="13"/>
      <c r="C101" s="13"/>
      <c r="D101" s="13"/>
      <c r="E101" s="13"/>
      <c r="F101" s="13"/>
      <c r="G101" s="11"/>
      <c r="H101" s="11"/>
      <c r="I101" s="13"/>
    </row>
    <row r="102" customFormat="false" ht="15" hidden="false" customHeight="true" outlineLevel="0" collapsed="false">
      <c r="A102" s="11"/>
      <c r="B102" s="13"/>
      <c r="C102" s="13"/>
      <c r="D102" s="13"/>
      <c r="E102" s="13"/>
      <c r="F102" s="13"/>
      <c r="G102" s="11"/>
      <c r="H102" s="11"/>
      <c r="I102" s="13"/>
    </row>
    <row r="103" customFormat="false" ht="15" hidden="false" customHeight="true" outlineLevel="0" collapsed="false">
      <c r="A103" s="11"/>
      <c r="B103" s="13"/>
      <c r="C103" s="13"/>
      <c r="D103" s="13"/>
      <c r="E103" s="13"/>
      <c r="F103" s="13"/>
      <c r="G103" s="11"/>
      <c r="H103" s="11"/>
      <c r="I103" s="13"/>
    </row>
    <row r="104" customFormat="false" ht="15" hidden="false" customHeight="true" outlineLevel="0" collapsed="false">
      <c r="A104" s="11"/>
      <c r="B104" s="13"/>
      <c r="C104" s="13"/>
      <c r="D104" s="13"/>
      <c r="E104" s="13"/>
      <c r="F104" s="13"/>
      <c r="G104" s="11"/>
      <c r="H104" s="11"/>
      <c r="I104" s="13"/>
    </row>
    <row r="105" customFormat="false" ht="15" hidden="false" customHeight="true" outlineLevel="0" collapsed="false">
      <c r="A105" s="11"/>
      <c r="B105" s="13"/>
      <c r="C105" s="13"/>
      <c r="D105" s="13"/>
      <c r="E105" s="13"/>
      <c r="F105" s="13"/>
      <c r="G105" s="11"/>
      <c r="H105" s="11"/>
      <c r="I105" s="13"/>
    </row>
    <row r="106" customFormat="false" ht="15" hidden="false" customHeight="true" outlineLevel="0" collapsed="false">
      <c r="A106" s="11"/>
      <c r="B106" s="13"/>
      <c r="C106" s="13"/>
      <c r="D106" s="13"/>
      <c r="E106" s="13"/>
      <c r="F106" s="13"/>
      <c r="G106" s="11"/>
      <c r="H106" s="11"/>
      <c r="I106" s="13"/>
    </row>
    <row r="107" customFormat="false" ht="15" hidden="false" customHeight="true" outlineLevel="0" collapsed="false">
      <c r="A107" s="11"/>
      <c r="B107" s="13"/>
      <c r="C107" s="13"/>
      <c r="D107" s="13"/>
      <c r="E107" s="13"/>
      <c r="F107" s="13"/>
      <c r="G107" s="11"/>
      <c r="H107" s="11"/>
      <c r="I107" s="13"/>
    </row>
    <row r="108" customFormat="false" ht="15" hidden="false" customHeight="true" outlineLevel="0" collapsed="false">
      <c r="A108" s="11"/>
      <c r="B108" s="13"/>
      <c r="C108" s="13"/>
      <c r="D108" s="13"/>
      <c r="E108" s="13"/>
      <c r="F108" s="13"/>
      <c r="G108" s="11"/>
      <c r="H108" s="11"/>
      <c r="I108" s="13"/>
    </row>
    <row r="109" customFormat="false" ht="15" hidden="false" customHeight="true" outlineLevel="0" collapsed="false">
      <c r="A109" s="11"/>
      <c r="B109" s="13"/>
      <c r="C109" s="13"/>
      <c r="D109" s="13"/>
      <c r="E109" s="13"/>
      <c r="F109" s="13"/>
      <c r="G109" s="11"/>
      <c r="H109" s="11"/>
      <c r="I109" s="13"/>
    </row>
    <row r="110" customFormat="false" ht="15" hidden="false" customHeight="true" outlineLevel="0" collapsed="false">
      <c r="A110" s="11"/>
      <c r="B110" s="13"/>
      <c r="C110" s="13"/>
      <c r="D110" s="13"/>
      <c r="E110" s="13"/>
      <c r="F110" s="13"/>
      <c r="G110" s="11"/>
      <c r="H110" s="11"/>
      <c r="I110" s="13"/>
    </row>
    <row r="111" customFormat="false" ht="15" hidden="false" customHeight="true" outlineLevel="0" collapsed="false">
      <c r="A111" s="11"/>
      <c r="B111" s="13"/>
      <c r="C111" s="13"/>
      <c r="D111" s="13"/>
      <c r="E111" s="13"/>
      <c r="F111" s="13"/>
      <c r="G111" s="11"/>
      <c r="H111" s="11"/>
      <c r="I111" s="13"/>
    </row>
    <row r="112" customFormat="false" ht="15" hidden="false" customHeight="true" outlineLevel="0" collapsed="false">
      <c r="A112" s="11"/>
      <c r="B112" s="13"/>
      <c r="C112" s="13"/>
      <c r="D112" s="13"/>
      <c r="E112" s="13"/>
      <c r="F112" s="13"/>
      <c r="G112" s="11"/>
      <c r="H112" s="11"/>
      <c r="I112" s="13"/>
    </row>
    <row r="113" customFormat="false" ht="15" hidden="false" customHeight="true" outlineLevel="0" collapsed="false">
      <c r="A113" s="11"/>
      <c r="B113" s="13"/>
      <c r="C113" s="13"/>
      <c r="D113" s="13"/>
      <c r="E113" s="13"/>
      <c r="F113" s="13"/>
      <c r="G113" s="11"/>
      <c r="H113" s="11"/>
      <c r="I113" s="13"/>
    </row>
    <row r="114" customFormat="false" ht="15" hidden="false" customHeight="true" outlineLevel="0" collapsed="false">
      <c r="A114" s="11"/>
      <c r="B114" s="13"/>
      <c r="C114" s="13"/>
      <c r="D114" s="13"/>
      <c r="E114" s="13"/>
      <c r="F114" s="13"/>
      <c r="G114" s="11"/>
      <c r="H114" s="11"/>
      <c r="I114" s="13"/>
    </row>
    <row r="115" customFormat="false" ht="15" hidden="false" customHeight="true" outlineLevel="0" collapsed="false">
      <c r="A115" s="11"/>
      <c r="B115" s="13"/>
      <c r="C115" s="13"/>
      <c r="D115" s="13"/>
      <c r="E115" s="13"/>
      <c r="F115" s="13"/>
      <c r="G115" s="11"/>
      <c r="H115" s="11"/>
      <c r="I115" s="13"/>
    </row>
    <row r="116" customFormat="false" ht="15" hidden="false" customHeight="true" outlineLevel="0" collapsed="false">
      <c r="A116" s="11"/>
      <c r="B116" s="13"/>
      <c r="C116" s="13"/>
      <c r="D116" s="13"/>
      <c r="E116" s="13"/>
      <c r="F116" s="13"/>
      <c r="G116" s="11"/>
      <c r="H116" s="11"/>
      <c r="I116" s="13"/>
    </row>
    <row r="117" customFormat="false" ht="15" hidden="false" customHeight="true" outlineLevel="0" collapsed="false">
      <c r="A117" s="11"/>
      <c r="B117" s="13"/>
      <c r="C117" s="13"/>
      <c r="D117" s="13"/>
      <c r="E117" s="13"/>
      <c r="F117" s="13"/>
      <c r="G117" s="11"/>
      <c r="H117" s="11"/>
      <c r="I117" s="13"/>
    </row>
    <row r="118" customFormat="false" ht="15" hidden="false" customHeight="true" outlineLevel="0" collapsed="false">
      <c r="A118" s="11"/>
      <c r="B118" s="13"/>
      <c r="C118" s="13"/>
      <c r="D118" s="13"/>
      <c r="E118" s="13"/>
      <c r="F118" s="13"/>
      <c r="G118" s="11"/>
      <c r="H118" s="11"/>
      <c r="I118" s="13"/>
    </row>
    <row r="119" customFormat="false" ht="15" hidden="false" customHeight="true" outlineLevel="0" collapsed="false">
      <c r="A119" s="11"/>
      <c r="B119" s="13"/>
      <c r="C119" s="13"/>
      <c r="D119" s="13"/>
      <c r="E119" s="13"/>
      <c r="F119" s="13"/>
      <c r="G119" s="11"/>
      <c r="H119" s="11"/>
      <c r="I119" s="13"/>
    </row>
    <row r="120" customFormat="false" ht="15" hidden="false" customHeight="true" outlineLevel="0" collapsed="false">
      <c r="A120" s="11"/>
      <c r="B120" s="13"/>
      <c r="C120" s="13"/>
      <c r="D120" s="13"/>
      <c r="E120" s="13"/>
      <c r="F120" s="13"/>
      <c r="G120" s="11"/>
      <c r="H120" s="11"/>
      <c r="I120" s="13"/>
    </row>
    <row r="121" customFormat="false" ht="15" hidden="false" customHeight="true" outlineLevel="0" collapsed="false">
      <c r="A121" s="11"/>
      <c r="B121" s="13"/>
      <c r="C121" s="13"/>
      <c r="D121" s="13"/>
      <c r="E121" s="13"/>
      <c r="F121" s="13"/>
      <c r="G121" s="11"/>
      <c r="H121" s="11"/>
      <c r="I121" s="13"/>
    </row>
    <row r="122" customFormat="false" ht="15" hidden="false" customHeight="true" outlineLevel="0" collapsed="false">
      <c r="A122" s="11"/>
      <c r="B122" s="13"/>
      <c r="C122" s="13"/>
      <c r="D122" s="13"/>
      <c r="E122" s="13"/>
      <c r="F122" s="13"/>
      <c r="G122" s="11"/>
      <c r="H122" s="11"/>
      <c r="I122" s="13"/>
    </row>
    <row r="123" customFormat="false" ht="15" hidden="false" customHeight="true" outlineLevel="0" collapsed="false">
      <c r="A123" s="11"/>
      <c r="B123" s="13"/>
      <c r="C123" s="13"/>
      <c r="D123" s="13"/>
      <c r="E123" s="13"/>
      <c r="F123" s="13"/>
      <c r="G123" s="11"/>
      <c r="H123" s="11"/>
      <c r="I123" s="13"/>
    </row>
    <row r="124" customFormat="false" ht="15" hidden="false" customHeight="true" outlineLevel="0" collapsed="false">
      <c r="A124" s="11"/>
      <c r="B124" s="13"/>
      <c r="C124" s="13"/>
      <c r="D124" s="13"/>
      <c r="E124" s="13"/>
      <c r="F124" s="13"/>
      <c r="G124" s="11"/>
      <c r="H124" s="11"/>
      <c r="I124" s="13"/>
    </row>
    <row r="125" customFormat="false" ht="15" hidden="false" customHeight="true" outlineLevel="0" collapsed="false">
      <c r="A125" s="11"/>
      <c r="B125" s="13"/>
      <c r="C125" s="13"/>
      <c r="D125" s="13"/>
      <c r="E125" s="13"/>
      <c r="F125" s="13"/>
      <c r="G125" s="11"/>
      <c r="H125" s="11"/>
      <c r="I125" s="13"/>
    </row>
    <row r="126" customFormat="false" ht="15" hidden="false" customHeight="true" outlineLevel="0" collapsed="false">
      <c r="A126" s="11"/>
      <c r="B126" s="13"/>
      <c r="C126" s="13"/>
      <c r="D126" s="13"/>
      <c r="E126" s="13"/>
      <c r="F126" s="13"/>
      <c r="G126" s="11"/>
      <c r="H126" s="11"/>
      <c r="I126" s="13"/>
    </row>
    <row r="127" customFormat="false" ht="15" hidden="false" customHeight="true" outlineLevel="0" collapsed="false">
      <c r="A127" s="11"/>
      <c r="B127" s="13"/>
      <c r="C127" s="13"/>
      <c r="D127" s="13"/>
      <c r="E127" s="13"/>
      <c r="F127" s="13"/>
      <c r="G127" s="11"/>
      <c r="H127" s="11"/>
      <c r="I127" s="13"/>
    </row>
    <row r="128" customFormat="false" ht="15" hidden="false" customHeight="true" outlineLevel="0" collapsed="false">
      <c r="A128" s="11"/>
      <c r="B128" s="13"/>
      <c r="C128" s="13"/>
      <c r="D128" s="13"/>
      <c r="E128" s="13"/>
      <c r="F128" s="13"/>
      <c r="G128" s="11"/>
      <c r="H128" s="11"/>
      <c r="I128" s="13"/>
    </row>
    <row r="129" customFormat="false" ht="15" hidden="false" customHeight="true" outlineLevel="0" collapsed="false">
      <c r="A129" s="11"/>
      <c r="B129" s="13"/>
      <c r="C129" s="13"/>
      <c r="D129" s="13"/>
      <c r="E129" s="13"/>
      <c r="F129" s="13"/>
      <c r="G129" s="11"/>
      <c r="H129" s="11"/>
      <c r="I129" s="13"/>
    </row>
    <row r="130" customFormat="false" ht="15" hidden="false" customHeight="true" outlineLevel="0" collapsed="false">
      <c r="A130" s="11"/>
      <c r="B130" s="13"/>
      <c r="C130" s="13"/>
      <c r="D130" s="13"/>
      <c r="E130" s="13"/>
      <c r="F130" s="13"/>
      <c r="G130" s="11"/>
      <c r="H130" s="11"/>
      <c r="I130" s="13"/>
    </row>
    <row r="131" customFormat="false" ht="15" hidden="false" customHeight="true" outlineLevel="0" collapsed="false">
      <c r="A131" s="11"/>
      <c r="B131" s="13"/>
      <c r="C131" s="13"/>
      <c r="D131" s="13"/>
      <c r="E131" s="13"/>
      <c r="F131" s="13"/>
      <c r="G131" s="11"/>
      <c r="H131" s="11"/>
      <c r="I131" s="13"/>
    </row>
    <row r="132" customFormat="false" ht="15" hidden="false" customHeight="true" outlineLevel="0" collapsed="false">
      <c r="A132" s="11"/>
      <c r="B132" s="13"/>
      <c r="C132" s="13"/>
      <c r="D132" s="13"/>
      <c r="E132" s="13"/>
      <c r="F132" s="13"/>
      <c r="G132" s="11"/>
      <c r="H132" s="11"/>
      <c r="I132" s="13"/>
    </row>
    <row r="133" customFormat="false" ht="15" hidden="false" customHeight="true" outlineLevel="0" collapsed="false">
      <c r="A133" s="11"/>
      <c r="B133" s="13"/>
      <c r="C133" s="13"/>
      <c r="D133" s="13"/>
      <c r="E133" s="13"/>
      <c r="F133" s="13"/>
      <c r="G133" s="11"/>
      <c r="H133" s="11"/>
      <c r="I133" s="13"/>
    </row>
    <row r="134" customFormat="false" ht="15" hidden="false" customHeight="true" outlineLevel="0" collapsed="false">
      <c r="A134" s="11"/>
      <c r="B134" s="13"/>
      <c r="C134" s="13"/>
      <c r="D134" s="13"/>
      <c r="E134" s="13"/>
      <c r="F134" s="13"/>
      <c r="G134" s="11"/>
      <c r="H134" s="11"/>
      <c r="I134" s="13"/>
    </row>
    <row r="135" customFormat="false" ht="15" hidden="false" customHeight="true" outlineLevel="0" collapsed="false">
      <c r="A135" s="11"/>
      <c r="B135" s="13"/>
      <c r="C135" s="13"/>
      <c r="D135" s="13"/>
      <c r="E135" s="13"/>
      <c r="F135" s="13"/>
      <c r="G135" s="11"/>
      <c r="H135" s="11"/>
      <c r="I135" s="13"/>
    </row>
    <row r="136" customFormat="false" ht="15" hidden="false" customHeight="true" outlineLevel="0" collapsed="false">
      <c r="A136" s="11"/>
      <c r="B136" s="13"/>
      <c r="C136" s="13"/>
      <c r="D136" s="13"/>
      <c r="E136" s="13"/>
      <c r="F136" s="13"/>
      <c r="G136" s="11"/>
      <c r="H136" s="11"/>
      <c r="I136" s="13"/>
    </row>
    <row r="137" customFormat="false" ht="15" hidden="false" customHeight="true" outlineLevel="0" collapsed="false">
      <c r="A137" s="11"/>
      <c r="B137" s="13"/>
      <c r="C137" s="13"/>
      <c r="D137" s="13"/>
      <c r="E137" s="13"/>
      <c r="F137" s="13"/>
      <c r="G137" s="11"/>
      <c r="H137" s="11"/>
      <c r="I137" s="13"/>
    </row>
    <row r="138" customFormat="false" ht="15" hidden="false" customHeight="true" outlineLevel="0" collapsed="false">
      <c r="A138" s="11"/>
      <c r="B138" s="13"/>
      <c r="C138" s="13"/>
      <c r="D138" s="13"/>
      <c r="E138" s="13"/>
      <c r="F138" s="13"/>
      <c r="G138" s="11"/>
      <c r="H138" s="11"/>
      <c r="I138" s="13"/>
    </row>
    <row r="139" customFormat="false" ht="15" hidden="false" customHeight="true" outlineLevel="0" collapsed="false">
      <c r="A139" s="11"/>
      <c r="B139" s="13"/>
      <c r="C139" s="13"/>
      <c r="D139" s="13"/>
      <c r="E139" s="13"/>
      <c r="F139" s="13"/>
      <c r="G139" s="11"/>
      <c r="H139" s="11"/>
      <c r="I139" s="13"/>
    </row>
    <row r="140" customFormat="false" ht="15" hidden="false" customHeight="true" outlineLevel="0" collapsed="false">
      <c r="A140" s="11"/>
      <c r="B140" s="13"/>
      <c r="C140" s="13"/>
      <c r="D140" s="13"/>
      <c r="E140" s="13"/>
      <c r="F140" s="13"/>
      <c r="G140" s="11"/>
      <c r="H140" s="11"/>
      <c r="I140" s="13"/>
    </row>
    <row r="141" customFormat="false" ht="15" hidden="false" customHeight="true" outlineLevel="0" collapsed="false">
      <c r="A141" s="11"/>
      <c r="B141" s="13"/>
      <c r="C141" s="13"/>
      <c r="D141" s="13"/>
      <c r="E141" s="13"/>
      <c r="F141" s="13"/>
      <c r="G141" s="11"/>
      <c r="H141" s="11"/>
      <c r="I141" s="13"/>
    </row>
    <row r="142" customFormat="false" ht="15" hidden="false" customHeight="true" outlineLevel="0" collapsed="false">
      <c r="A142" s="11"/>
      <c r="B142" s="13"/>
      <c r="C142" s="13"/>
      <c r="D142" s="13"/>
      <c r="E142" s="13"/>
      <c r="F142" s="13"/>
      <c r="G142" s="11"/>
      <c r="H142" s="11"/>
      <c r="I142" s="13"/>
    </row>
    <row r="143" customFormat="false" ht="15" hidden="false" customHeight="true" outlineLevel="0" collapsed="false">
      <c r="A143" s="11"/>
      <c r="B143" s="13"/>
      <c r="C143" s="13"/>
      <c r="D143" s="13"/>
      <c r="E143" s="13"/>
      <c r="F143" s="13"/>
      <c r="G143" s="11"/>
      <c r="H143" s="11"/>
      <c r="I143" s="13"/>
    </row>
    <row r="144" customFormat="false" ht="15" hidden="false" customHeight="true" outlineLevel="0" collapsed="false">
      <c r="A144" s="11"/>
      <c r="B144" s="13"/>
      <c r="C144" s="13"/>
      <c r="D144" s="13"/>
      <c r="E144" s="13"/>
      <c r="F144" s="13"/>
      <c r="G144" s="11"/>
      <c r="H144" s="11"/>
      <c r="I144" s="13"/>
    </row>
    <row r="145" customFormat="false" ht="15" hidden="false" customHeight="true" outlineLevel="0" collapsed="false">
      <c r="A145" s="11"/>
      <c r="B145" s="13"/>
      <c r="C145" s="13"/>
      <c r="D145" s="13"/>
      <c r="E145" s="13"/>
      <c r="F145" s="13"/>
      <c r="G145" s="11"/>
      <c r="H145" s="11"/>
      <c r="I145" s="13"/>
    </row>
    <row r="146" customFormat="false" ht="15" hidden="false" customHeight="true" outlineLevel="0" collapsed="false">
      <c r="A146" s="11"/>
      <c r="B146" s="13"/>
      <c r="C146" s="13"/>
      <c r="D146" s="13"/>
      <c r="E146" s="13"/>
      <c r="F146" s="13"/>
      <c r="G146" s="11"/>
      <c r="H146" s="11"/>
      <c r="I146" s="13"/>
    </row>
    <row r="147" customFormat="false" ht="15" hidden="false" customHeight="true" outlineLevel="0" collapsed="false">
      <c r="A147" s="11"/>
      <c r="B147" s="13"/>
      <c r="C147" s="13"/>
      <c r="D147" s="13"/>
      <c r="E147" s="13"/>
      <c r="F147" s="13"/>
      <c r="G147" s="11"/>
      <c r="H147" s="11"/>
      <c r="I147" s="13"/>
    </row>
    <row r="148" customFormat="false" ht="15" hidden="false" customHeight="true" outlineLevel="0" collapsed="false">
      <c r="A148" s="11"/>
      <c r="B148" s="13"/>
      <c r="C148" s="13"/>
      <c r="D148" s="13"/>
      <c r="E148" s="13"/>
      <c r="F148" s="13"/>
      <c r="G148" s="11"/>
      <c r="H148" s="11"/>
      <c r="I148" s="13"/>
    </row>
    <row r="149" customFormat="false" ht="15" hidden="false" customHeight="true" outlineLevel="0" collapsed="false">
      <c r="A149" s="11"/>
      <c r="B149" s="13"/>
      <c r="C149" s="13"/>
      <c r="D149" s="13"/>
      <c r="E149" s="13"/>
      <c r="F149" s="13"/>
      <c r="G149" s="11"/>
      <c r="H149" s="11"/>
      <c r="I149" s="13"/>
    </row>
    <row r="150" customFormat="false" ht="15" hidden="false" customHeight="true" outlineLevel="0" collapsed="false">
      <c r="A150" s="11"/>
      <c r="B150" s="13"/>
      <c r="C150" s="13"/>
      <c r="D150" s="13"/>
      <c r="E150" s="13"/>
      <c r="F150" s="13"/>
      <c r="G150" s="11"/>
      <c r="H150" s="11"/>
      <c r="I150" s="13"/>
    </row>
    <row r="151" customFormat="false" ht="15" hidden="false" customHeight="true" outlineLevel="0" collapsed="false">
      <c r="A151" s="11"/>
      <c r="B151" s="13"/>
      <c r="C151" s="13"/>
      <c r="D151" s="13"/>
      <c r="E151" s="13"/>
      <c r="F151" s="13"/>
      <c r="G151" s="11"/>
      <c r="H151" s="11"/>
      <c r="I151" s="13"/>
    </row>
    <row r="152" customFormat="false" ht="15" hidden="false" customHeight="true" outlineLevel="0" collapsed="false">
      <c r="A152" s="11"/>
      <c r="B152" s="13"/>
      <c r="C152" s="13"/>
      <c r="D152" s="13"/>
      <c r="E152" s="13"/>
      <c r="F152" s="13"/>
      <c r="G152" s="11"/>
      <c r="H152" s="11"/>
      <c r="I152" s="13"/>
    </row>
    <row r="153" customFormat="false" ht="15" hidden="false" customHeight="true" outlineLevel="0" collapsed="false">
      <c r="A153" s="11"/>
      <c r="B153" s="13"/>
      <c r="C153" s="13"/>
      <c r="D153" s="13"/>
      <c r="E153" s="13"/>
      <c r="F153" s="13"/>
      <c r="G153" s="11"/>
      <c r="H153" s="11"/>
      <c r="I153" s="13"/>
    </row>
    <row r="154" customFormat="false" ht="15" hidden="false" customHeight="true" outlineLevel="0" collapsed="false">
      <c r="A154" s="11"/>
      <c r="B154" s="13"/>
      <c r="C154" s="13"/>
      <c r="D154" s="13"/>
      <c r="E154" s="13"/>
      <c r="F154" s="13"/>
      <c r="G154" s="11"/>
      <c r="H154" s="11"/>
      <c r="I154" s="13"/>
    </row>
    <row r="155" customFormat="false" ht="15" hidden="false" customHeight="true" outlineLevel="0" collapsed="false">
      <c r="A155" s="11"/>
      <c r="B155" s="13"/>
      <c r="C155" s="13"/>
      <c r="D155" s="13"/>
      <c r="E155" s="13"/>
      <c r="F155" s="13"/>
      <c r="G155" s="11"/>
      <c r="H155" s="11"/>
      <c r="I155" s="13"/>
    </row>
    <row r="156" customFormat="false" ht="15" hidden="false" customHeight="true" outlineLevel="0" collapsed="false">
      <c r="A156" s="11"/>
      <c r="B156" s="13"/>
      <c r="C156" s="13"/>
      <c r="D156" s="13"/>
      <c r="E156" s="13"/>
      <c r="F156" s="13"/>
      <c r="G156" s="11"/>
      <c r="H156" s="11"/>
      <c r="I156" s="13"/>
    </row>
    <row r="157" customFormat="false" ht="15" hidden="false" customHeight="true" outlineLevel="0" collapsed="false">
      <c r="A157" s="11"/>
      <c r="B157" s="13"/>
      <c r="C157" s="13"/>
      <c r="D157" s="13"/>
      <c r="E157" s="13"/>
      <c r="F157" s="13"/>
      <c r="G157" s="11"/>
      <c r="H157" s="11"/>
      <c r="I157" s="13"/>
    </row>
    <row r="158" customFormat="false" ht="15" hidden="false" customHeight="true" outlineLevel="0" collapsed="false">
      <c r="A158" s="11"/>
      <c r="B158" s="13"/>
      <c r="C158" s="13"/>
      <c r="D158" s="13"/>
      <c r="E158" s="13"/>
      <c r="F158" s="13"/>
      <c r="G158" s="11"/>
      <c r="H158" s="11"/>
      <c r="I158" s="13"/>
    </row>
    <row r="159" customFormat="false" ht="15" hidden="false" customHeight="true" outlineLevel="0" collapsed="false">
      <c r="A159" s="11"/>
      <c r="B159" s="13"/>
      <c r="C159" s="13"/>
      <c r="D159" s="13"/>
      <c r="E159" s="13"/>
      <c r="F159" s="13"/>
      <c r="G159" s="11"/>
      <c r="H159" s="11"/>
      <c r="I159" s="13"/>
    </row>
    <row r="160" customFormat="false" ht="15" hidden="false" customHeight="true" outlineLevel="0" collapsed="false">
      <c r="A160" s="11"/>
      <c r="B160" s="13"/>
      <c r="C160" s="13"/>
      <c r="D160" s="13"/>
      <c r="E160" s="13"/>
      <c r="F160" s="13"/>
      <c r="G160" s="11"/>
      <c r="H160" s="11"/>
      <c r="I160" s="13"/>
    </row>
    <row r="161" customFormat="false" ht="15" hidden="false" customHeight="true" outlineLevel="0" collapsed="false">
      <c r="A161" s="11"/>
      <c r="B161" s="13"/>
      <c r="C161" s="13"/>
      <c r="D161" s="13"/>
      <c r="E161" s="13"/>
      <c r="F161" s="13"/>
      <c r="G161" s="11"/>
      <c r="H161" s="11"/>
      <c r="I161" s="13"/>
    </row>
    <row r="162" customFormat="false" ht="15" hidden="false" customHeight="true" outlineLevel="0" collapsed="false">
      <c r="A162" s="11"/>
      <c r="B162" s="13"/>
      <c r="C162" s="13"/>
      <c r="D162" s="13"/>
      <c r="E162" s="13"/>
      <c r="F162" s="13"/>
      <c r="G162" s="11"/>
      <c r="H162" s="11"/>
      <c r="I162" s="13"/>
    </row>
    <row r="163" customFormat="false" ht="15" hidden="false" customHeight="true" outlineLevel="0" collapsed="false">
      <c r="A163" s="11"/>
      <c r="B163" s="13"/>
      <c r="C163" s="13"/>
      <c r="D163" s="13"/>
      <c r="E163" s="13"/>
      <c r="F163" s="13"/>
      <c r="G163" s="11"/>
      <c r="H163" s="11"/>
      <c r="I163" s="13"/>
    </row>
    <row r="164" customFormat="false" ht="15" hidden="false" customHeight="true" outlineLevel="0" collapsed="false">
      <c r="A164" s="11"/>
      <c r="B164" s="13"/>
      <c r="C164" s="13"/>
      <c r="D164" s="13"/>
      <c r="E164" s="13"/>
      <c r="F164" s="13"/>
      <c r="G164" s="11"/>
      <c r="H164" s="11"/>
      <c r="I164" s="13"/>
    </row>
    <row r="165" customFormat="false" ht="15" hidden="false" customHeight="true" outlineLevel="0" collapsed="false">
      <c r="A165" s="11"/>
      <c r="B165" s="13"/>
      <c r="C165" s="13"/>
      <c r="D165" s="13"/>
      <c r="E165" s="13"/>
      <c r="F165" s="13"/>
      <c r="G165" s="11"/>
      <c r="H165" s="11"/>
      <c r="I165" s="13"/>
    </row>
    <row r="166" customFormat="false" ht="15" hidden="false" customHeight="true" outlineLevel="0" collapsed="false">
      <c r="A166" s="11"/>
      <c r="B166" s="13"/>
      <c r="C166" s="13"/>
      <c r="D166" s="13"/>
      <c r="E166" s="13"/>
      <c r="F166" s="13"/>
      <c r="G166" s="11"/>
      <c r="H166" s="11"/>
      <c r="I166" s="13"/>
    </row>
    <row r="167" customFormat="false" ht="15" hidden="false" customHeight="true" outlineLevel="0" collapsed="false">
      <c r="A167" s="11"/>
      <c r="B167" s="13"/>
      <c r="C167" s="13"/>
      <c r="D167" s="13"/>
      <c r="E167" s="13"/>
      <c r="F167" s="13"/>
      <c r="G167" s="11"/>
      <c r="H167" s="11"/>
      <c r="I167" s="13"/>
    </row>
    <row r="168" customFormat="false" ht="15" hidden="false" customHeight="true" outlineLevel="0" collapsed="false">
      <c r="A168" s="11"/>
      <c r="B168" s="13"/>
      <c r="C168" s="13"/>
      <c r="D168" s="13"/>
      <c r="E168" s="13"/>
      <c r="F168" s="13"/>
      <c r="G168" s="11"/>
      <c r="H168" s="11"/>
      <c r="I168" s="13"/>
    </row>
    <row r="169" customFormat="false" ht="15" hidden="false" customHeight="true" outlineLevel="0" collapsed="false">
      <c r="A169" s="11"/>
      <c r="B169" s="13"/>
      <c r="C169" s="13"/>
      <c r="D169" s="13"/>
      <c r="E169" s="13"/>
      <c r="F169" s="13"/>
      <c r="G169" s="11"/>
      <c r="H169" s="11"/>
      <c r="I169" s="13"/>
    </row>
    <row r="170" customFormat="false" ht="15" hidden="false" customHeight="true" outlineLevel="0" collapsed="false">
      <c r="A170" s="11"/>
      <c r="B170" s="13"/>
      <c r="C170" s="13"/>
      <c r="D170" s="13"/>
      <c r="E170" s="13"/>
      <c r="F170" s="13"/>
      <c r="G170" s="11"/>
      <c r="H170" s="11"/>
      <c r="I170" s="13"/>
    </row>
    <row r="171" customFormat="false" ht="15" hidden="false" customHeight="true" outlineLevel="0" collapsed="false">
      <c r="A171" s="11"/>
      <c r="B171" s="13"/>
      <c r="C171" s="13"/>
      <c r="D171" s="13"/>
      <c r="E171" s="13"/>
      <c r="F171" s="13"/>
      <c r="G171" s="11"/>
      <c r="H171" s="11"/>
      <c r="I171" s="13"/>
    </row>
    <row r="172" customFormat="false" ht="15" hidden="false" customHeight="true" outlineLevel="0" collapsed="false">
      <c r="A172" s="11"/>
      <c r="B172" s="13"/>
      <c r="C172" s="13"/>
      <c r="D172" s="13"/>
      <c r="E172" s="13"/>
      <c r="F172" s="13"/>
      <c r="G172" s="11"/>
      <c r="H172" s="11"/>
      <c r="I172" s="13"/>
    </row>
    <row r="173" customFormat="false" ht="15" hidden="false" customHeight="true" outlineLevel="0" collapsed="false">
      <c r="A173" s="11"/>
      <c r="B173" s="13"/>
      <c r="C173" s="13"/>
      <c r="D173" s="13"/>
      <c r="E173" s="13"/>
      <c r="F173" s="13"/>
      <c r="G173" s="11"/>
      <c r="H173" s="11"/>
      <c r="I173" s="13"/>
    </row>
    <row r="174" customFormat="false" ht="15" hidden="false" customHeight="true" outlineLevel="0" collapsed="false">
      <c r="A174" s="11"/>
      <c r="B174" s="13"/>
      <c r="C174" s="13"/>
      <c r="D174" s="13"/>
      <c r="E174" s="13"/>
      <c r="F174" s="13"/>
      <c r="G174" s="11"/>
      <c r="H174" s="11"/>
      <c r="I174" s="13"/>
    </row>
    <row r="175" customFormat="false" ht="15" hidden="false" customHeight="true" outlineLevel="0" collapsed="false">
      <c r="A175" s="11"/>
      <c r="B175" s="13"/>
      <c r="C175" s="13"/>
      <c r="D175" s="13"/>
      <c r="E175" s="13"/>
      <c r="F175" s="13"/>
      <c r="G175" s="11"/>
      <c r="H175" s="11"/>
      <c r="I175" s="13"/>
    </row>
    <row r="176" customFormat="false" ht="15" hidden="false" customHeight="true" outlineLevel="0" collapsed="false">
      <c r="A176" s="11"/>
      <c r="B176" s="13"/>
      <c r="C176" s="13"/>
      <c r="D176" s="13"/>
      <c r="E176" s="13"/>
      <c r="F176" s="13"/>
      <c r="G176" s="11"/>
      <c r="H176" s="11"/>
      <c r="I176" s="13"/>
    </row>
    <row r="177" customFormat="false" ht="15" hidden="false" customHeight="true" outlineLevel="0" collapsed="false">
      <c r="A177" s="11"/>
      <c r="B177" s="13"/>
      <c r="C177" s="13"/>
      <c r="D177" s="13"/>
      <c r="E177" s="13"/>
      <c r="F177" s="13"/>
      <c r="G177" s="11"/>
      <c r="H177" s="11"/>
      <c r="I177" s="13"/>
    </row>
    <row r="178" customFormat="false" ht="15" hidden="false" customHeight="true" outlineLevel="0" collapsed="false">
      <c r="A178" s="11"/>
      <c r="B178" s="13"/>
      <c r="C178" s="13"/>
      <c r="D178" s="13"/>
      <c r="E178" s="13"/>
      <c r="F178" s="13"/>
      <c r="G178" s="11"/>
      <c r="H178" s="11"/>
      <c r="I178" s="13"/>
    </row>
    <row r="179" customFormat="false" ht="15" hidden="false" customHeight="true" outlineLevel="0" collapsed="false">
      <c r="A179" s="11"/>
      <c r="B179" s="13"/>
      <c r="C179" s="13"/>
      <c r="D179" s="13"/>
      <c r="E179" s="13"/>
      <c r="F179" s="13"/>
      <c r="G179" s="11"/>
      <c r="H179" s="11"/>
      <c r="I179" s="13"/>
    </row>
    <row r="180" customFormat="false" ht="15" hidden="false" customHeight="true" outlineLevel="0" collapsed="false">
      <c r="A180" s="11"/>
      <c r="B180" s="13"/>
      <c r="C180" s="13"/>
      <c r="D180" s="13"/>
      <c r="E180" s="13"/>
      <c r="F180" s="13"/>
      <c r="G180" s="11"/>
      <c r="H180" s="11"/>
      <c r="I180" s="13"/>
    </row>
    <row r="181" customFormat="false" ht="15" hidden="false" customHeight="true" outlineLevel="0" collapsed="false">
      <c r="A181" s="11"/>
      <c r="B181" s="13"/>
      <c r="C181" s="13"/>
      <c r="D181" s="13"/>
      <c r="E181" s="13"/>
      <c r="F181" s="13"/>
      <c r="G181" s="11"/>
      <c r="H181" s="11"/>
      <c r="I181" s="13"/>
    </row>
    <row r="182" customFormat="false" ht="15" hidden="false" customHeight="true" outlineLevel="0" collapsed="false">
      <c r="A182" s="11"/>
      <c r="B182" s="13"/>
      <c r="C182" s="13"/>
      <c r="D182" s="13"/>
      <c r="E182" s="13"/>
      <c r="F182" s="13"/>
      <c r="G182" s="11"/>
      <c r="H182" s="11"/>
      <c r="I182" s="13"/>
    </row>
    <row r="183" customFormat="false" ht="15" hidden="false" customHeight="true" outlineLevel="0" collapsed="false">
      <c r="A183" s="11"/>
      <c r="B183" s="13"/>
      <c r="C183" s="13"/>
      <c r="D183" s="13"/>
      <c r="E183" s="13"/>
      <c r="F183" s="13"/>
      <c r="G183" s="11"/>
      <c r="H183" s="11"/>
      <c r="I183" s="13"/>
    </row>
    <row r="184" customFormat="false" ht="15" hidden="false" customHeight="true" outlineLevel="0" collapsed="false">
      <c r="A184" s="11"/>
      <c r="B184" s="13"/>
      <c r="C184" s="13"/>
      <c r="D184" s="13"/>
      <c r="E184" s="13"/>
      <c r="F184" s="13"/>
      <c r="G184" s="11"/>
      <c r="H184" s="11"/>
      <c r="I184" s="13"/>
    </row>
    <row r="185" customFormat="false" ht="15" hidden="false" customHeight="true" outlineLevel="0" collapsed="false">
      <c r="A185" s="11"/>
      <c r="B185" s="13"/>
      <c r="C185" s="13"/>
      <c r="D185" s="13"/>
      <c r="E185" s="13"/>
      <c r="F185" s="13"/>
      <c r="G185" s="11"/>
      <c r="H185" s="11"/>
      <c r="I185" s="13"/>
    </row>
    <row r="186" customFormat="false" ht="15" hidden="false" customHeight="true" outlineLevel="0" collapsed="false">
      <c r="A186" s="11"/>
      <c r="B186" s="13"/>
      <c r="C186" s="13"/>
      <c r="D186" s="13"/>
      <c r="E186" s="13"/>
      <c r="F186" s="13"/>
      <c r="G186" s="11"/>
      <c r="H186" s="11"/>
      <c r="I186" s="13"/>
    </row>
    <row r="187" customFormat="false" ht="15" hidden="false" customHeight="true" outlineLevel="0" collapsed="false">
      <c r="A187" s="11"/>
      <c r="B187" s="13"/>
      <c r="C187" s="13"/>
      <c r="D187" s="13"/>
      <c r="E187" s="13"/>
      <c r="F187" s="13"/>
      <c r="G187" s="11"/>
      <c r="H187" s="11"/>
      <c r="I187" s="13"/>
    </row>
    <row r="188" customFormat="false" ht="15" hidden="false" customHeight="true" outlineLevel="0" collapsed="false">
      <c r="A188" s="11"/>
      <c r="B188" s="13"/>
      <c r="C188" s="13"/>
      <c r="D188" s="13"/>
      <c r="E188" s="13"/>
      <c r="F188" s="13"/>
      <c r="G188" s="11"/>
      <c r="H188" s="11"/>
      <c r="I188" s="13"/>
    </row>
    <row r="189" customFormat="false" ht="15" hidden="false" customHeight="true" outlineLevel="0" collapsed="false">
      <c r="A189" s="11"/>
      <c r="B189" s="13"/>
      <c r="C189" s="13"/>
      <c r="D189" s="13"/>
      <c r="E189" s="13"/>
      <c r="F189" s="13"/>
      <c r="G189" s="11"/>
      <c r="H189" s="11"/>
      <c r="I189" s="13"/>
    </row>
    <row r="190" customFormat="false" ht="15" hidden="false" customHeight="true" outlineLevel="0" collapsed="false">
      <c r="A190" s="11"/>
      <c r="B190" s="13"/>
      <c r="C190" s="13"/>
      <c r="D190" s="13"/>
      <c r="E190" s="13"/>
      <c r="F190" s="13"/>
      <c r="G190" s="11"/>
      <c r="H190" s="11"/>
      <c r="I190" s="13"/>
    </row>
    <row r="191" customFormat="false" ht="15" hidden="false" customHeight="true" outlineLevel="0" collapsed="false">
      <c r="A191" s="11"/>
      <c r="B191" s="13"/>
      <c r="C191" s="13"/>
      <c r="D191" s="13"/>
      <c r="E191" s="13"/>
      <c r="F191" s="13"/>
      <c r="G191" s="11"/>
      <c r="H191" s="11"/>
      <c r="I191" s="13"/>
    </row>
    <row r="192" customFormat="false" ht="15" hidden="false" customHeight="true" outlineLevel="0" collapsed="false">
      <c r="A192" s="11"/>
      <c r="B192" s="13"/>
      <c r="C192" s="13"/>
      <c r="D192" s="13"/>
      <c r="E192" s="13"/>
      <c r="F192" s="13"/>
      <c r="G192" s="11"/>
      <c r="H192" s="11"/>
      <c r="I192" s="13"/>
    </row>
    <row r="193" customFormat="false" ht="15" hidden="false" customHeight="true" outlineLevel="0" collapsed="false">
      <c r="A193" s="11"/>
      <c r="B193" s="13"/>
      <c r="C193" s="13"/>
      <c r="D193" s="13"/>
      <c r="E193" s="13"/>
      <c r="F193" s="13"/>
      <c r="G193" s="11"/>
      <c r="H193" s="11"/>
      <c r="I193" s="13"/>
    </row>
    <row r="194" customFormat="false" ht="15" hidden="false" customHeight="true" outlineLevel="0" collapsed="false">
      <c r="A194" s="11"/>
      <c r="B194" s="13"/>
      <c r="C194" s="13"/>
      <c r="D194" s="13"/>
      <c r="E194" s="13"/>
      <c r="F194" s="13"/>
      <c r="G194" s="11"/>
      <c r="H194" s="11"/>
      <c r="I194" s="13"/>
    </row>
    <row r="195" customFormat="false" ht="15" hidden="false" customHeight="true" outlineLevel="0" collapsed="false">
      <c r="A195" s="11"/>
      <c r="B195" s="13"/>
      <c r="C195" s="13"/>
      <c r="D195" s="13"/>
      <c r="E195" s="13"/>
      <c r="F195" s="13"/>
      <c r="G195" s="11"/>
      <c r="H195" s="11"/>
      <c r="I195" s="13"/>
    </row>
    <row r="196" customFormat="false" ht="15" hidden="false" customHeight="true" outlineLevel="0" collapsed="false">
      <c r="A196" s="11"/>
      <c r="B196" s="13"/>
      <c r="C196" s="13"/>
      <c r="D196" s="13"/>
      <c r="E196" s="13"/>
      <c r="F196" s="13"/>
      <c r="G196" s="11"/>
      <c r="H196" s="11"/>
      <c r="I196" s="13"/>
    </row>
    <row r="197" customFormat="false" ht="15" hidden="false" customHeight="true" outlineLevel="0" collapsed="false">
      <c r="A197" s="11"/>
      <c r="B197" s="13"/>
      <c r="C197" s="13"/>
      <c r="D197" s="13"/>
      <c r="E197" s="13"/>
      <c r="F197" s="13"/>
      <c r="G197" s="11"/>
      <c r="H197" s="11"/>
      <c r="I197" s="13"/>
    </row>
    <row r="198" customFormat="false" ht="15" hidden="false" customHeight="true" outlineLevel="0" collapsed="false">
      <c r="A198" s="11"/>
      <c r="B198" s="13"/>
      <c r="C198" s="13"/>
      <c r="D198" s="13"/>
      <c r="E198" s="13"/>
      <c r="F198" s="13"/>
      <c r="G198" s="11"/>
      <c r="H198" s="11"/>
      <c r="I198" s="13"/>
    </row>
    <row r="199" customFormat="false" ht="15" hidden="false" customHeight="true" outlineLevel="0" collapsed="false">
      <c r="A199" s="11"/>
      <c r="B199" s="13"/>
      <c r="C199" s="13"/>
      <c r="D199" s="13"/>
      <c r="E199" s="13"/>
      <c r="F199" s="13"/>
      <c r="G199" s="11"/>
      <c r="H199" s="11"/>
      <c r="I199" s="13"/>
    </row>
    <row r="200" customFormat="false" ht="15" hidden="false" customHeight="true" outlineLevel="0" collapsed="false">
      <c r="A200" s="11"/>
      <c r="B200" s="13"/>
      <c r="C200" s="13"/>
      <c r="D200" s="13"/>
      <c r="E200" s="13"/>
      <c r="F200" s="13"/>
      <c r="G200" s="11"/>
      <c r="H200" s="11"/>
      <c r="I200" s="13"/>
    </row>
    <row r="201" customFormat="false" ht="15" hidden="false" customHeight="true" outlineLevel="0" collapsed="false">
      <c r="A201" s="11"/>
      <c r="B201" s="13"/>
      <c r="C201" s="13"/>
      <c r="D201" s="13"/>
      <c r="E201" s="13"/>
      <c r="F201" s="13"/>
      <c r="G201" s="11"/>
      <c r="H201" s="11"/>
      <c r="I201" s="13"/>
    </row>
    <row r="202" customFormat="false" ht="15" hidden="false" customHeight="true" outlineLevel="0" collapsed="false">
      <c r="A202" s="14"/>
      <c r="B202" s="15"/>
      <c r="C202" s="15"/>
      <c r="D202" s="14"/>
      <c r="E202" s="15"/>
      <c r="F202" s="14"/>
      <c r="G202" s="14"/>
      <c r="H202" s="14"/>
      <c r="I202" s="15"/>
    </row>
    <row r="203" customFormat="false" ht="15" hidden="false" customHeight="true" outlineLevel="0" collapsed="false">
      <c r="A203" s="14"/>
      <c r="B203" s="15"/>
      <c r="C203" s="15"/>
      <c r="D203" s="14"/>
      <c r="E203" s="15"/>
      <c r="F203" s="14"/>
      <c r="G203" s="14"/>
      <c r="H203" s="14"/>
      <c r="I203" s="15"/>
    </row>
    <row r="204" customFormat="false" ht="15" hidden="false" customHeight="true" outlineLevel="0" collapsed="false">
      <c r="A204" s="14"/>
      <c r="B204" s="15"/>
      <c r="C204" s="15"/>
      <c r="D204" s="14"/>
      <c r="E204" s="15"/>
      <c r="F204" s="14"/>
      <c r="G204" s="14"/>
      <c r="H204" s="14"/>
      <c r="I204" s="15"/>
    </row>
    <row r="205" customFormat="false" ht="15" hidden="false" customHeight="true" outlineLevel="0" collapsed="false">
      <c r="A205" s="14"/>
      <c r="B205" s="15"/>
      <c r="C205" s="15"/>
      <c r="D205" s="14"/>
      <c r="E205" s="15"/>
      <c r="F205" s="14"/>
      <c r="G205" s="14"/>
      <c r="H205" s="14"/>
      <c r="I205" s="15"/>
    </row>
    <row r="206" customFormat="false" ht="15" hidden="false" customHeight="true" outlineLevel="0" collapsed="false">
      <c r="A206" s="14"/>
      <c r="B206" s="15"/>
      <c r="C206" s="15"/>
      <c r="D206" s="14"/>
      <c r="E206" s="15"/>
      <c r="F206" s="14"/>
      <c r="G206" s="14"/>
      <c r="H206" s="14"/>
      <c r="I206" s="15"/>
    </row>
    <row r="207" customFormat="false" ht="15" hidden="false" customHeight="true" outlineLevel="0" collapsed="false">
      <c r="A207" s="14"/>
      <c r="B207" s="15"/>
      <c r="C207" s="15"/>
      <c r="D207" s="14"/>
      <c r="E207" s="15"/>
      <c r="F207" s="14"/>
      <c r="G207" s="14"/>
      <c r="H207" s="14"/>
      <c r="I207" s="15"/>
    </row>
    <row r="208" customFormat="false" ht="15" hidden="false" customHeight="true" outlineLevel="0" collapsed="false">
      <c r="A208" s="14"/>
      <c r="B208" s="15"/>
      <c r="C208" s="15"/>
      <c r="D208" s="14"/>
      <c r="E208" s="15"/>
      <c r="F208" s="14"/>
      <c r="G208" s="14"/>
      <c r="H208" s="14"/>
      <c r="I208" s="15"/>
    </row>
    <row r="209" customFormat="false" ht="15" hidden="false" customHeight="true" outlineLevel="0" collapsed="false">
      <c r="A209" s="14"/>
      <c r="B209" s="15"/>
      <c r="C209" s="15"/>
      <c r="D209" s="14"/>
      <c r="E209" s="15"/>
      <c r="F209" s="14"/>
      <c r="G209" s="14"/>
      <c r="H209" s="14"/>
      <c r="I209" s="15"/>
    </row>
    <row r="210" customFormat="false" ht="15" hidden="false" customHeight="true" outlineLevel="0" collapsed="false">
      <c r="A210" s="14"/>
      <c r="B210" s="15"/>
      <c r="C210" s="15"/>
      <c r="D210" s="14"/>
      <c r="E210" s="15"/>
      <c r="F210" s="14"/>
      <c r="G210" s="14"/>
      <c r="H210" s="14"/>
      <c r="I210" s="15"/>
    </row>
    <row r="211" customFormat="false" ht="15" hidden="false" customHeight="true" outlineLevel="0" collapsed="false">
      <c r="A211" s="14"/>
      <c r="B211" s="15"/>
      <c r="C211" s="15"/>
      <c r="D211" s="14"/>
      <c r="E211" s="15"/>
      <c r="F211" s="14"/>
      <c r="G211" s="14"/>
      <c r="H211" s="14"/>
      <c r="I211" s="15"/>
    </row>
  </sheetData>
  <dataValidations count="2">
    <dataValidation allowBlank="false" error="請輸入正確日期，例如 2026-08-24" errorStyle="stop" errorTitle="日期格式錯誤" operator="between" showDropDown="false" showErrorMessage="true" showInputMessage="false" sqref="A3:A201" type="date">
      <formula1>2020-1-1</formula1>
      <formula2>2035-12-31</formula2>
    </dataValidation>
    <dataValidation allowBlank="false" error="請輸入不小於 0 的整數" errorStyle="stop" errorTitle="數字錯誤" operator="greaterThanOrEqual" showDropDown="false" showErrorMessage="true" showInputMessage="false" sqref="H3:H201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7" min="6" style="1" width="16"/>
  </cols>
  <sheetData>
    <row r="1" customFormat="false" ht="42" hidden="false" customHeight="true" outlineLevel="0" collapsed="false">
      <c r="A1" s="7" t="s">
        <v>107</v>
      </c>
      <c r="B1" s="7" t="s">
        <v>108</v>
      </c>
      <c r="C1" s="7" t="s">
        <v>109</v>
      </c>
      <c r="D1" s="7" t="s">
        <v>110</v>
      </c>
      <c r="E1" s="7" t="s">
        <v>111</v>
      </c>
      <c r="F1" s="7" t="s">
        <v>112</v>
      </c>
      <c r="G1" s="7" t="s">
        <v>113</v>
      </c>
    </row>
    <row r="2" customFormat="false" ht="15" hidden="false" customHeight="true" outlineLevel="0" collapsed="false">
      <c r="A2" s="10" t="s">
        <v>36</v>
      </c>
      <c r="B2" s="9" t="s">
        <v>114</v>
      </c>
      <c r="C2" s="8" t="n">
        <v>18</v>
      </c>
      <c r="D2" s="8" t="n">
        <f aca="false">IF(A2="","",SUMIF($A$2:$A$301,A2,$C$2:$C$301))</f>
        <v>40</v>
      </c>
      <c r="E2" s="16" t="n">
        <f aca="false">IF(OR(A2="",D2="",D2=0),"",C2/D2)</f>
        <v>0.45</v>
      </c>
      <c r="F2" s="8" t="n">
        <f aca="false">IFERROR(INDEX(商品資料!$H:$H,MATCH(A2,商品資料!$D:$D,0)),"")</f>
        <v>682</v>
      </c>
      <c r="G2" s="8" t="n">
        <f aca="false">IF(OR(E2="",F2=""),"",ROUND(E2*F2,0))</f>
        <v>307</v>
      </c>
    </row>
    <row r="3" customFormat="false" ht="15" hidden="false" customHeight="true" outlineLevel="0" collapsed="false">
      <c r="A3" s="10" t="s">
        <v>36</v>
      </c>
      <c r="B3" s="9" t="s">
        <v>115</v>
      </c>
      <c r="C3" s="8" t="n">
        <v>9</v>
      </c>
      <c r="D3" s="8" t="n">
        <f aca="false">IF(A3="","",SUMIF($A$2:$A$301,A3,$C$2:$C$301))</f>
        <v>40</v>
      </c>
      <c r="E3" s="16" t="n">
        <f aca="false">IF(OR(A3="",D3="",D3=0),"",C3/D3)</f>
        <v>0.225</v>
      </c>
      <c r="F3" s="8" t="n">
        <f aca="false">IFERROR(INDEX(商品資料!$H:$H,MATCH(A3,商品資料!$D:$D,0)),"")</f>
        <v>682</v>
      </c>
      <c r="G3" s="8" t="n">
        <f aca="false">IF(OR(E3="",F3=""),"",ROUND(E3*F3,0))</f>
        <v>153</v>
      </c>
    </row>
    <row r="4" customFormat="false" ht="15" hidden="false" customHeight="true" outlineLevel="0" collapsed="false">
      <c r="A4" s="10" t="s">
        <v>36</v>
      </c>
      <c r="B4" s="9" t="s">
        <v>116</v>
      </c>
      <c r="C4" s="8" t="n">
        <v>13</v>
      </c>
      <c r="D4" s="8" t="n">
        <f aca="false">IF(A4="","",SUMIF($A$2:$A$301,A4,$C$2:$C$301))</f>
        <v>40</v>
      </c>
      <c r="E4" s="16" t="n">
        <f aca="false">IF(OR(A4="",D4="",D4=0),"",C4/D4)</f>
        <v>0.325</v>
      </c>
      <c r="F4" s="8" t="n">
        <f aca="false">IFERROR(INDEX(商品資料!$H:$H,MATCH(A4,商品資料!$D:$D,0)),"")</f>
        <v>682</v>
      </c>
      <c r="G4" s="8" t="n">
        <f aca="false">IF(OR(E4="",F4=""),"",ROUND(E4*F4,0))</f>
        <v>222</v>
      </c>
    </row>
    <row r="5" customFormat="false" ht="15" hidden="false" customHeight="true" outlineLevel="0" collapsed="false">
      <c r="A5" s="13"/>
      <c r="B5" s="11"/>
      <c r="C5" s="13"/>
      <c r="D5" s="17" t="str">
        <f aca="false">IF(A5="","",SUMIF($A$2:$A$301,A5,$C$2:$C$301))</f>
        <v/>
      </c>
      <c r="E5" s="18" t="str">
        <f aca="false">IF(OR(A5="",D5="",D5=0),"",C5/D5)</f>
        <v/>
      </c>
      <c r="F5" s="17" t="str">
        <f aca="false">IFERROR(INDEX(商品資料!$H:$H,MATCH(A5,商品資料!$D:$D,0)),"")</f>
        <v/>
      </c>
      <c r="G5" s="17" t="str">
        <f aca="false">IF(OR(E5="",F5=""),"",ROUND(E5*F5,0))</f>
        <v/>
      </c>
    </row>
    <row r="6" customFormat="false" ht="15" hidden="false" customHeight="true" outlineLevel="0" collapsed="false">
      <c r="A6" s="13"/>
      <c r="B6" s="11"/>
      <c r="C6" s="13"/>
      <c r="D6" s="17" t="str">
        <f aca="false">IF(A6="","",SUMIF($A$2:$A$301,A6,$C$2:$C$301))</f>
        <v/>
      </c>
      <c r="E6" s="18" t="str">
        <f aca="false">IF(OR(A6="",D6="",D6=0),"",C6/D6)</f>
        <v/>
      </c>
      <c r="F6" s="17" t="str">
        <f aca="false">IFERROR(INDEX(商品資料!$H:$H,MATCH(A6,商品資料!$D:$D,0)),"")</f>
        <v/>
      </c>
      <c r="G6" s="17" t="str">
        <f aca="false">IF(OR(E6="",F6=""),"",ROUND(E6*F6,0))</f>
        <v/>
      </c>
    </row>
    <row r="7" customFormat="false" ht="15" hidden="false" customHeight="true" outlineLevel="0" collapsed="false">
      <c r="A7" s="13"/>
      <c r="B7" s="11"/>
      <c r="C7" s="13"/>
      <c r="D7" s="17" t="str">
        <f aca="false">IF(A7="","",SUMIF($A$2:$A$301,A7,$C$2:$C$301))</f>
        <v/>
      </c>
      <c r="E7" s="18" t="str">
        <f aca="false">IF(OR(A7="",D7="",D7=0),"",C7/D7)</f>
        <v/>
      </c>
      <c r="F7" s="17" t="str">
        <f aca="false">IFERROR(INDEX(商品資料!$H:$H,MATCH(A7,商品資料!$D:$D,0)),"")</f>
        <v/>
      </c>
      <c r="G7" s="17" t="str">
        <f aca="false">IF(OR(E7="",F7=""),"",ROUND(E7*F7,0))</f>
        <v/>
      </c>
    </row>
    <row r="8" customFormat="false" ht="15" hidden="false" customHeight="true" outlineLevel="0" collapsed="false">
      <c r="A8" s="13"/>
      <c r="B8" s="11"/>
      <c r="C8" s="13"/>
      <c r="D8" s="17" t="str">
        <f aca="false">IF(A8="","",SUMIF($A$2:$A$301,A8,$C$2:$C$301))</f>
        <v/>
      </c>
      <c r="E8" s="18" t="str">
        <f aca="false">IF(OR(A8="",D8="",D8=0),"",C8/D8)</f>
        <v/>
      </c>
      <c r="F8" s="17" t="str">
        <f aca="false">IFERROR(INDEX(商品資料!$H:$H,MATCH(A8,商品資料!$D:$D,0)),"")</f>
        <v/>
      </c>
      <c r="G8" s="17" t="str">
        <f aca="false">IF(OR(E8="",F8=""),"",ROUND(E8*F8,0))</f>
        <v/>
      </c>
    </row>
    <row r="9" customFormat="false" ht="15" hidden="false" customHeight="true" outlineLevel="0" collapsed="false">
      <c r="A9" s="13"/>
      <c r="B9" s="11"/>
      <c r="C9" s="13"/>
      <c r="D9" s="17" t="str">
        <f aca="false">IF(A9="","",SUMIF($A$2:$A$301,A9,$C$2:$C$301))</f>
        <v/>
      </c>
      <c r="E9" s="18" t="str">
        <f aca="false">IF(OR(A9="",D9="",D9=0),"",C9/D9)</f>
        <v/>
      </c>
      <c r="F9" s="17" t="str">
        <f aca="false">IFERROR(INDEX(商品資料!$H:$H,MATCH(A9,商品資料!$D:$D,0)),"")</f>
        <v/>
      </c>
      <c r="G9" s="17" t="str">
        <f aca="false">IF(OR(E9="",F9=""),"",ROUND(E9*F9,0))</f>
        <v/>
      </c>
    </row>
    <row r="10" customFormat="false" ht="15" hidden="false" customHeight="true" outlineLevel="0" collapsed="false">
      <c r="A10" s="13"/>
      <c r="B10" s="11"/>
      <c r="C10" s="13"/>
      <c r="D10" s="17" t="str">
        <f aca="false">IF(A10="","",SUMIF($A$2:$A$301,A10,$C$2:$C$301))</f>
        <v/>
      </c>
      <c r="E10" s="18" t="str">
        <f aca="false">IF(OR(A10="",D10="",D10=0),"",C10/D10)</f>
        <v/>
      </c>
      <c r="F10" s="17" t="str">
        <f aca="false">IFERROR(INDEX(商品資料!$H:$H,MATCH(A10,商品資料!$D:$D,0)),"")</f>
        <v/>
      </c>
      <c r="G10" s="17" t="str">
        <f aca="false">IF(OR(E10="",F10=""),"",ROUND(E10*F10,0))</f>
        <v/>
      </c>
    </row>
    <row r="11" customFormat="false" ht="15" hidden="false" customHeight="true" outlineLevel="0" collapsed="false">
      <c r="A11" s="13"/>
      <c r="B11" s="11"/>
      <c r="C11" s="13"/>
      <c r="D11" s="17" t="str">
        <f aca="false">IF(A11="","",SUMIF($A$2:$A$301,A11,$C$2:$C$301))</f>
        <v/>
      </c>
      <c r="E11" s="18" t="str">
        <f aca="false">IF(OR(A11="",D11="",D11=0),"",C11/D11)</f>
        <v/>
      </c>
      <c r="F11" s="17" t="str">
        <f aca="false">IFERROR(INDEX(商品資料!$H:$H,MATCH(A11,商品資料!$D:$D,0)),"")</f>
        <v/>
      </c>
      <c r="G11" s="17" t="str">
        <f aca="false">IF(OR(E11="",F11=""),"",ROUND(E11*F11,0))</f>
        <v/>
      </c>
    </row>
    <row r="12" customFormat="false" ht="15" hidden="false" customHeight="true" outlineLevel="0" collapsed="false">
      <c r="A12" s="13"/>
      <c r="B12" s="11"/>
      <c r="C12" s="13"/>
      <c r="D12" s="17" t="str">
        <f aca="false">IF(A12="","",SUMIF($A$2:$A$301,A12,$C$2:$C$301))</f>
        <v/>
      </c>
      <c r="E12" s="18" t="str">
        <f aca="false">IF(OR(A12="",D12="",D12=0),"",C12/D12)</f>
        <v/>
      </c>
      <c r="F12" s="17" t="str">
        <f aca="false">IFERROR(INDEX(商品資料!$H:$H,MATCH(A12,商品資料!$D:$D,0)),"")</f>
        <v/>
      </c>
      <c r="G12" s="17" t="str">
        <f aca="false">IF(OR(E12="",F12=""),"",ROUND(E12*F12,0))</f>
        <v/>
      </c>
    </row>
    <row r="13" customFormat="false" ht="15" hidden="false" customHeight="true" outlineLevel="0" collapsed="false">
      <c r="A13" s="13"/>
      <c r="B13" s="11"/>
      <c r="C13" s="13"/>
      <c r="D13" s="17" t="str">
        <f aca="false">IF(A13="","",SUMIF($A$2:$A$301,A13,$C$2:$C$301))</f>
        <v/>
      </c>
      <c r="E13" s="18" t="str">
        <f aca="false">IF(OR(A13="",D13="",D13=0),"",C13/D13)</f>
        <v/>
      </c>
      <c r="F13" s="17" t="str">
        <f aca="false">IFERROR(INDEX(商品資料!$H:$H,MATCH(A13,商品資料!$D:$D,0)),"")</f>
        <v/>
      </c>
      <c r="G13" s="17" t="str">
        <f aca="false">IF(OR(E13="",F13=""),"",ROUND(E13*F13,0))</f>
        <v/>
      </c>
    </row>
    <row r="14" customFormat="false" ht="15" hidden="false" customHeight="true" outlineLevel="0" collapsed="false">
      <c r="A14" s="13"/>
      <c r="B14" s="11"/>
      <c r="C14" s="13"/>
      <c r="D14" s="17" t="str">
        <f aca="false">IF(A14="","",SUMIF($A$2:$A$301,A14,$C$2:$C$301))</f>
        <v/>
      </c>
      <c r="E14" s="18" t="str">
        <f aca="false">IF(OR(A14="",D14="",D14=0),"",C14/D14)</f>
        <v/>
      </c>
      <c r="F14" s="17" t="str">
        <f aca="false">IFERROR(INDEX(商品資料!$H:$H,MATCH(A14,商品資料!$D:$D,0)),"")</f>
        <v/>
      </c>
      <c r="G14" s="17" t="str">
        <f aca="false">IF(OR(E14="",F14=""),"",ROUND(E14*F14,0))</f>
        <v/>
      </c>
    </row>
    <row r="15" customFormat="false" ht="15" hidden="false" customHeight="true" outlineLevel="0" collapsed="false">
      <c r="A15" s="13"/>
      <c r="B15" s="11"/>
      <c r="C15" s="13"/>
      <c r="D15" s="17" t="str">
        <f aca="false">IF(A15="","",SUMIF($A$2:$A$301,A15,$C$2:$C$301))</f>
        <v/>
      </c>
      <c r="E15" s="18" t="str">
        <f aca="false">IF(OR(A15="",D15="",D15=0),"",C15/D15)</f>
        <v/>
      </c>
      <c r="F15" s="17" t="str">
        <f aca="false">IFERROR(INDEX(商品資料!$H:$H,MATCH(A15,商品資料!$D:$D,0)),"")</f>
        <v/>
      </c>
      <c r="G15" s="17" t="str">
        <f aca="false">IF(OR(E15="",F15=""),"",ROUND(E15*F15,0))</f>
        <v/>
      </c>
    </row>
    <row r="16" customFormat="false" ht="15" hidden="false" customHeight="true" outlineLevel="0" collapsed="false">
      <c r="A16" s="13"/>
      <c r="B16" s="11"/>
      <c r="C16" s="13"/>
      <c r="D16" s="17" t="str">
        <f aca="false">IF(A16="","",SUMIF($A$2:$A$301,A16,$C$2:$C$301))</f>
        <v/>
      </c>
      <c r="E16" s="18" t="str">
        <f aca="false">IF(OR(A16="",D16="",D16=0),"",C16/D16)</f>
        <v/>
      </c>
      <c r="F16" s="17" t="str">
        <f aca="false">IFERROR(INDEX(商品資料!$H:$H,MATCH(A16,商品資料!$D:$D,0)),"")</f>
        <v/>
      </c>
      <c r="G16" s="17" t="str">
        <f aca="false">IF(OR(E16="",F16=""),"",ROUND(E16*F16,0))</f>
        <v/>
      </c>
    </row>
    <row r="17" customFormat="false" ht="15" hidden="false" customHeight="true" outlineLevel="0" collapsed="false">
      <c r="A17" s="13"/>
      <c r="B17" s="11"/>
      <c r="C17" s="13"/>
      <c r="D17" s="17" t="str">
        <f aca="false">IF(A17="","",SUMIF($A$2:$A$301,A17,$C$2:$C$301))</f>
        <v/>
      </c>
      <c r="E17" s="18" t="str">
        <f aca="false">IF(OR(A17="",D17="",D17=0),"",C17/D17)</f>
        <v/>
      </c>
      <c r="F17" s="17" t="str">
        <f aca="false">IFERROR(INDEX(商品資料!$H:$H,MATCH(A17,商品資料!$D:$D,0)),"")</f>
        <v/>
      </c>
      <c r="G17" s="17" t="str">
        <f aca="false">IF(OR(E17="",F17=""),"",ROUND(E17*F17,0))</f>
        <v/>
      </c>
    </row>
    <row r="18" customFormat="false" ht="15" hidden="false" customHeight="true" outlineLevel="0" collapsed="false">
      <c r="A18" s="13"/>
      <c r="B18" s="11"/>
      <c r="C18" s="13"/>
      <c r="D18" s="17" t="str">
        <f aca="false">IF(A18="","",SUMIF($A$2:$A$301,A18,$C$2:$C$301))</f>
        <v/>
      </c>
      <c r="E18" s="18" t="str">
        <f aca="false">IF(OR(A18="",D18="",D18=0),"",C18/D18)</f>
        <v/>
      </c>
      <c r="F18" s="17" t="str">
        <f aca="false">IFERROR(INDEX(商品資料!$H:$H,MATCH(A18,商品資料!$D:$D,0)),"")</f>
        <v/>
      </c>
      <c r="G18" s="17" t="str">
        <f aca="false">IF(OR(E18="",F18=""),"",ROUND(E18*F18,0))</f>
        <v/>
      </c>
    </row>
    <row r="19" customFormat="false" ht="15" hidden="false" customHeight="true" outlineLevel="0" collapsed="false">
      <c r="A19" s="13"/>
      <c r="B19" s="11"/>
      <c r="C19" s="13"/>
      <c r="D19" s="17" t="str">
        <f aca="false">IF(A19="","",SUMIF($A$2:$A$301,A19,$C$2:$C$301))</f>
        <v/>
      </c>
      <c r="E19" s="18" t="str">
        <f aca="false">IF(OR(A19="",D19="",D19=0),"",C19/D19)</f>
        <v/>
      </c>
      <c r="F19" s="17" t="str">
        <f aca="false">IFERROR(INDEX(商品資料!$H:$H,MATCH(A19,商品資料!$D:$D,0)),"")</f>
        <v/>
      </c>
      <c r="G19" s="17" t="str">
        <f aca="false">IF(OR(E19="",F19=""),"",ROUND(E19*F19,0))</f>
        <v/>
      </c>
    </row>
    <row r="20" customFormat="false" ht="15" hidden="false" customHeight="true" outlineLevel="0" collapsed="false">
      <c r="A20" s="13"/>
      <c r="B20" s="11"/>
      <c r="C20" s="13"/>
      <c r="D20" s="17" t="str">
        <f aca="false">IF(A20="","",SUMIF($A$2:$A$301,A20,$C$2:$C$301))</f>
        <v/>
      </c>
      <c r="E20" s="18" t="str">
        <f aca="false">IF(OR(A20="",D20="",D20=0),"",C20/D20)</f>
        <v/>
      </c>
      <c r="F20" s="17" t="str">
        <f aca="false">IFERROR(INDEX(商品資料!$H:$H,MATCH(A20,商品資料!$D:$D,0)),"")</f>
        <v/>
      </c>
      <c r="G20" s="17" t="str">
        <f aca="false">IF(OR(E20="",F20=""),"",ROUND(E20*F20,0))</f>
        <v/>
      </c>
    </row>
    <row r="21" customFormat="false" ht="15" hidden="false" customHeight="true" outlineLevel="0" collapsed="false">
      <c r="A21" s="13"/>
      <c r="B21" s="11"/>
      <c r="C21" s="13"/>
      <c r="D21" s="17" t="str">
        <f aca="false">IF(A21="","",SUMIF($A$2:$A$301,A21,$C$2:$C$301))</f>
        <v/>
      </c>
      <c r="E21" s="18" t="str">
        <f aca="false">IF(OR(A21="",D21="",D21=0),"",C21/D21)</f>
        <v/>
      </c>
      <c r="F21" s="17" t="str">
        <f aca="false">IFERROR(INDEX(商品資料!$H:$H,MATCH(A21,商品資料!$D:$D,0)),"")</f>
        <v/>
      </c>
      <c r="G21" s="17" t="str">
        <f aca="false">IF(OR(E21="",F21=""),"",ROUND(E21*F21,0))</f>
        <v/>
      </c>
    </row>
    <row r="22" customFormat="false" ht="15" hidden="false" customHeight="true" outlineLevel="0" collapsed="false">
      <c r="A22" s="13"/>
      <c r="B22" s="11"/>
      <c r="C22" s="13"/>
      <c r="D22" s="17" t="str">
        <f aca="false">IF(A22="","",SUMIF($A$2:$A$301,A22,$C$2:$C$301))</f>
        <v/>
      </c>
      <c r="E22" s="18" t="str">
        <f aca="false">IF(OR(A22="",D22="",D22=0),"",C22/D22)</f>
        <v/>
      </c>
      <c r="F22" s="17" t="str">
        <f aca="false">IFERROR(INDEX(商品資料!$H:$H,MATCH(A22,商品資料!$D:$D,0)),"")</f>
        <v/>
      </c>
      <c r="G22" s="17" t="str">
        <f aca="false">IF(OR(E22="",F22=""),"",ROUND(E22*F22,0))</f>
        <v/>
      </c>
    </row>
    <row r="23" customFormat="false" ht="15" hidden="false" customHeight="true" outlineLevel="0" collapsed="false">
      <c r="A23" s="13"/>
      <c r="B23" s="11"/>
      <c r="C23" s="13"/>
      <c r="D23" s="17" t="str">
        <f aca="false">IF(A23="","",SUMIF($A$2:$A$301,A23,$C$2:$C$301))</f>
        <v/>
      </c>
      <c r="E23" s="18" t="str">
        <f aca="false">IF(OR(A23="",D23="",D23=0),"",C23/D23)</f>
        <v/>
      </c>
      <c r="F23" s="17" t="str">
        <f aca="false">IFERROR(INDEX(商品資料!$H:$H,MATCH(A23,商品資料!$D:$D,0)),"")</f>
        <v/>
      </c>
      <c r="G23" s="17" t="str">
        <f aca="false">IF(OR(E23="",F23=""),"",ROUND(E23*F23,0))</f>
        <v/>
      </c>
    </row>
    <row r="24" customFormat="false" ht="15" hidden="false" customHeight="true" outlineLevel="0" collapsed="false">
      <c r="A24" s="13"/>
      <c r="B24" s="11"/>
      <c r="C24" s="13"/>
      <c r="D24" s="17" t="str">
        <f aca="false">IF(A24="","",SUMIF($A$2:$A$301,A24,$C$2:$C$301))</f>
        <v/>
      </c>
      <c r="E24" s="18" t="str">
        <f aca="false">IF(OR(A24="",D24="",D24=0),"",C24/D24)</f>
        <v/>
      </c>
      <c r="F24" s="17" t="str">
        <f aca="false">IFERROR(INDEX(商品資料!$H:$H,MATCH(A24,商品資料!$D:$D,0)),"")</f>
        <v/>
      </c>
      <c r="G24" s="17" t="str">
        <f aca="false">IF(OR(E24="",F24=""),"",ROUND(E24*F24,0))</f>
        <v/>
      </c>
    </row>
    <row r="25" customFormat="false" ht="15" hidden="false" customHeight="true" outlineLevel="0" collapsed="false">
      <c r="A25" s="13"/>
      <c r="B25" s="11"/>
      <c r="C25" s="13"/>
      <c r="D25" s="17" t="str">
        <f aca="false">IF(A25="","",SUMIF($A$2:$A$301,A25,$C$2:$C$301))</f>
        <v/>
      </c>
      <c r="E25" s="18" t="str">
        <f aca="false">IF(OR(A25="",D25="",D25=0),"",C25/D25)</f>
        <v/>
      </c>
      <c r="F25" s="17" t="str">
        <f aca="false">IFERROR(INDEX(商品資料!$H:$H,MATCH(A25,商品資料!$D:$D,0)),"")</f>
        <v/>
      </c>
      <c r="G25" s="17" t="str">
        <f aca="false">IF(OR(E25="",F25=""),"",ROUND(E25*F25,0))</f>
        <v/>
      </c>
    </row>
    <row r="26" customFormat="false" ht="15" hidden="false" customHeight="true" outlineLevel="0" collapsed="false">
      <c r="A26" s="13"/>
      <c r="B26" s="11"/>
      <c r="C26" s="13"/>
      <c r="D26" s="17" t="str">
        <f aca="false">IF(A26="","",SUMIF($A$2:$A$301,A26,$C$2:$C$301))</f>
        <v/>
      </c>
      <c r="E26" s="18" t="str">
        <f aca="false">IF(OR(A26="",D26="",D26=0),"",C26/D26)</f>
        <v/>
      </c>
      <c r="F26" s="17" t="str">
        <f aca="false">IFERROR(INDEX(商品資料!$H:$H,MATCH(A26,商品資料!$D:$D,0)),"")</f>
        <v/>
      </c>
      <c r="G26" s="17" t="str">
        <f aca="false">IF(OR(E26="",F26=""),"",ROUND(E26*F26,0))</f>
        <v/>
      </c>
    </row>
    <row r="27" customFormat="false" ht="15" hidden="false" customHeight="true" outlineLevel="0" collapsed="false">
      <c r="A27" s="13"/>
      <c r="B27" s="11"/>
      <c r="C27" s="13"/>
      <c r="D27" s="17" t="str">
        <f aca="false">IF(A27="","",SUMIF($A$2:$A$301,A27,$C$2:$C$301))</f>
        <v/>
      </c>
      <c r="E27" s="18" t="str">
        <f aca="false">IF(OR(A27="",D27="",D27=0),"",C27/D27)</f>
        <v/>
      </c>
      <c r="F27" s="17" t="str">
        <f aca="false">IFERROR(INDEX(商品資料!$H:$H,MATCH(A27,商品資料!$D:$D,0)),"")</f>
        <v/>
      </c>
      <c r="G27" s="17" t="str">
        <f aca="false">IF(OR(E27="",F27=""),"",ROUND(E27*F27,0))</f>
        <v/>
      </c>
    </row>
    <row r="28" customFormat="false" ht="15" hidden="false" customHeight="true" outlineLevel="0" collapsed="false">
      <c r="A28" s="13"/>
      <c r="B28" s="11"/>
      <c r="C28" s="13"/>
      <c r="D28" s="17" t="str">
        <f aca="false">IF(A28="","",SUMIF($A$2:$A$301,A28,$C$2:$C$301))</f>
        <v/>
      </c>
      <c r="E28" s="18" t="str">
        <f aca="false">IF(OR(A28="",D28="",D28=0),"",C28/D28)</f>
        <v/>
      </c>
      <c r="F28" s="17" t="str">
        <f aca="false">IFERROR(INDEX(商品資料!$H:$H,MATCH(A28,商品資料!$D:$D,0)),"")</f>
        <v/>
      </c>
      <c r="G28" s="17" t="str">
        <f aca="false">IF(OR(E28="",F28=""),"",ROUND(E28*F28,0))</f>
        <v/>
      </c>
    </row>
    <row r="29" customFormat="false" ht="15" hidden="false" customHeight="true" outlineLevel="0" collapsed="false">
      <c r="A29" s="13"/>
      <c r="B29" s="11"/>
      <c r="C29" s="13"/>
      <c r="D29" s="17" t="str">
        <f aca="false">IF(A29="","",SUMIF($A$2:$A$301,A29,$C$2:$C$301))</f>
        <v/>
      </c>
      <c r="E29" s="18" t="str">
        <f aca="false">IF(OR(A29="",D29="",D29=0),"",C29/D29)</f>
        <v/>
      </c>
      <c r="F29" s="17" t="str">
        <f aca="false">IFERROR(INDEX(商品資料!$H:$H,MATCH(A29,商品資料!$D:$D,0)),"")</f>
        <v/>
      </c>
      <c r="G29" s="17" t="str">
        <f aca="false">IF(OR(E29="",F29=""),"",ROUND(E29*F29,0))</f>
        <v/>
      </c>
    </row>
    <row r="30" customFormat="false" ht="15" hidden="false" customHeight="true" outlineLevel="0" collapsed="false">
      <c r="A30" s="13"/>
      <c r="B30" s="11"/>
      <c r="C30" s="13"/>
      <c r="D30" s="17" t="str">
        <f aca="false">IF(A30="","",SUMIF($A$2:$A$301,A30,$C$2:$C$301))</f>
        <v/>
      </c>
      <c r="E30" s="18" t="str">
        <f aca="false">IF(OR(A30="",D30="",D30=0),"",C30/D30)</f>
        <v/>
      </c>
      <c r="F30" s="17" t="str">
        <f aca="false">IFERROR(INDEX(商品資料!$H:$H,MATCH(A30,商品資料!$D:$D,0)),"")</f>
        <v/>
      </c>
      <c r="G30" s="17" t="str">
        <f aca="false">IF(OR(E30="",F30=""),"",ROUND(E30*F30,0))</f>
        <v/>
      </c>
    </row>
    <row r="31" customFormat="false" ht="15" hidden="false" customHeight="true" outlineLevel="0" collapsed="false">
      <c r="A31" s="13"/>
      <c r="B31" s="11"/>
      <c r="C31" s="13"/>
      <c r="D31" s="17" t="str">
        <f aca="false">IF(A31="","",SUMIF($A$2:$A$301,A31,$C$2:$C$301))</f>
        <v/>
      </c>
      <c r="E31" s="18" t="str">
        <f aca="false">IF(OR(A31="",D31="",D31=0),"",C31/D31)</f>
        <v/>
      </c>
      <c r="F31" s="17" t="str">
        <f aca="false">IFERROR(INDEX(商品資料!$H:$H,MATCH(A31,商品資料!$D:$D,0)),"")</f>
        <v/>
      </c>
      <c r="G31" s="17" t="str">
        <f aca="false">IF(OR(E31="",F31=""),"",ROUND(E31*F31,0))</f>
        <v/>
      </c>
    </row>
    <row r="32" customFormat="false" ht="15" hidden="false" customHeight="true" outlineLevel="0" collapsed="false">
      <c r="A32" s="13"/>
      <c r="B32" s="11"/>
      <c r="C32" s="13"/>
      <c r="D32" s="17" t="str">
        <f aca="false">IF(A32="","",SUMIF($A$2:$A$301,A32,$C$2:$C$301))</f>
        <v/>
      </c>
      <c r="E32" s="18" t="str">
        <f aca="false">IF(OR(A32="",D32="",D32=0),"",C32/D32)</f>
        <v/>
      </c>
      <c r="F32" s="17" t="str">
        <f aca="false">IFERROR(INDEX(商品資料!$H:$H,MATCH(A32,商品資料!$D:$D,0)),"")</f>
        <v/>
      </c>
      <c r="G32" s="17" t="str">
        <f aca="false">IF(OR(E32="",F32=""),"",ROUND(E32*F32,0))</f>
        <v/>
      </c>
    </row>
    <row r="33" customFormat="false" ht="15" hidden="false" customHeight="true" outlineLevel="0" collapsed="false">
      <c r="A33" s="13"/>
      <c r="B33" s="11"/>
      <c r="C33" s="13"/>
      <c r="D33" s="17" t="str">
        <f aca="false">IF(A33="","",SUMIF($A$2:$A$301,A33,$C$2:$C$301))</f>
        <v/>
      </c>
      <c r="E33" s="18" t="str">
        <f aca="false">IF(OR(A33="",D33="",D33=0),"",C33/D33)</f>
        <v/>
      </c>
      <c r="F33" s="17" t="str">
        <f aca="false">IFERROR(INDEX(商品資料!$H:$H,MATCH(A33,商品資料!$D:$D,0)),"")</f>
        <v/>
      </c>
      <c r="G33" s="17" t="str">
        <f aca="false">IF(OR(E33="",F33=""),"",ROUND(E33*F33,0))</f>
        <v/>
      </c>
    </row>
    <row r="34" customFormat="false" ht="15" hidden="false" customHeight="true" outlineLevel="0" collapsed="false">
      <c r="A34" s="13"/>
      <c r="B34" s="11"/>
      <c r="C34" s="13"/>
      <c r="D34" s="17" t="str">
        <f aca="false">IF(A34="","",SUMIF($A$2:$A$301,A34,$C$2:$C$301))</f>
        <v/>
      </c>
      <c r="E34" s="18" t="str">
        <f aca="false">IF(OR(A34="",D34="",D34=0),"",C34/D34)</f>
        <v/>
      </c>
      <c r="F34" s="17" t="str">
        <f aca="false">IFERROR(INDEX(商品資料!$H:$H,MATCH(A34,商品資料!$D:$D,0)),"")</f>
        <v/>
      </c>
      <c r="G34" s="17" t="str">
        <f aca="false">IF(OR(E34="",F34=""),"",ROUND(E34*F34,0))</f>
        <v/>
      </c>
    </row>
    <row r="35" customFormat="false" ht="15" hidden="false" customHeight="true" outlineLevel="0" collapsed="false">
      <c r="A35" s="13"/>
      <c r="B35" s="11"/>
      <c r="C35" s="13"/>
      <c r="D35" s="17" t="str">
        <f aca="false">IF(A35="","",SUMIF($A$2:$A$301,A35,$C$2:$C$301))</f>
        <v/>
      </c>
      <c r="E35" s="18" t="str">
        <f aca="false">IF(OR(A35="",D35="",D35=0),"",C35/D35)</f>
        <v/>
      </c>
      <c r="F35" s="17" t="str">
        <f aca="false">IFERROR(INDEX(商品資料!$H:$H,MATCH(A35,商品資料!$D:$D,0)),"")</f>
        <v/>
      </c>
      <c r="G35" s="17" t="str">
        <f aca="false">IF(OR(E35="",F35=""),"",ROUND(E35*F35,0))</f>
        <v/>
      </c>
    </row>
    <row r="36" customFormat="false" ht="15" hidden="false" customHeight="true" outlineLevel="0" collapsed="false">
      <c r="A36" s="13"/>
      <c r="B36" s="11"/>
      <c r="C36" s="13"/>
      <c r="D36" s="17" t="str">
        <f aca="false">IF(A36="","",SUMIF($A$2:$A$301,A36,$C$2:$C$301))</f>
        <v/>
      </c>
      <c r="E36" s="18" t="str">
        <f aca="false">IF(OR(A36="",D36="",D36=0),"",C36/D36)</f>
        <v/>
      </c>
      <c r="F36" s="17" t="str">
        <f aca="false">IFERROR(INDEX(商品資料!$H:$H,MATCH(A36,商品資料!$D:$D,0)),"")</f>
        <v/>
      </c>
      <c r="G36" s="17" t="str">
        <f aca="false">IF(OR(E36="",F36=""),"",ROUND(E36*F36,0))</f>
        <v/>
      </c>
    </row>
    <row r="37" customFormat="false" ht="15" hidden="false" customHeight="true" outlineLevel="0" collapsed="false">
      <c r="A37" s="13"/>
      <c r="B37" s="11"/>
      <c r="C37" s="13"/>
      <c r="D37" s="17" t="str">
        <f aca="false">IF(A37="","",SUMIF($A$2:$A$301,A37,$C$2:$C$301))</f>
        <v/>
      </c>
      <c r="E37" s="18" t="str">
        <f aca="false">IF(OR(A37="",D37="",D37=0),"",C37/D37)</f>
        <v/>
      </c>
      <c r="F37" s="17" t="str">
        <f aca="false">IFERROR(INDEX(商品資料!$H:$H,MATCH(A37,商品資料!$D:$D,0)),"")</f>
        <v/>
      </c>
      <c r="G37" s="17" t="str">
        <f aca="false">IF(OR(E37="",F37=""),"",ROUND(E37*F37,0))</f>
        <v/>
      </c>
    </row>
    <row r="38" customFormat="false" ht="15" hidden="false" customHeight="true" outlineLevel="0" collapsed="false">
      <c r="A38" s="13"/>
      <c r="B38" s="11"/>
      <c r="C38" s="13"/>
      <c r="D38" s="17" t="str">
        <f aca="false">IF(A38="","",SUMIF($A$2:$A$301,A38,$C$2:$C$301))</f>
        <v/>
      </c>
      <c r="E38" s="18" t="str">
        <f aca="false">IF(OR(A38="",D38="",D38=0),"",C38/D38)</f>
        <v/>
      </c>
      <c r="F38" s="17" t="str">
        <f aca="false">IFERROR(INDEX(商品資料!$H:$H,MATCH(A38,商品資料!$D:$D,0)),"")</f>
        <v/>
      </c>
      <c r="G38" s="17" t="str">
        <f aca="false">IF(OR(E38="",F38=""),"",ROUND(E38*F38,0))</f>
        <v/>
      </c>
    </row>
    <row r="39" customFormat="false" ht="15" hidden="false" customHeight="true" outlineLevel="0" collapsed="false">
      <c r="A39" s="13"/>
      <c r="B39" s="11"/>
      <c r="C39" s="13"/>
      <c r="D39" s="17" t="str">
        <f aca="false">IF(A39="","",SUMIF($A$2:$A$301,A39,$C$2:$C$301))</f>
        <v/>
      </c>
      <c r="E39" s="18" t="str">
        <f aca="false">IF(OR(A39="",D39="",D39=0),"",C39/D39)</f>
        <v/>
      </c>
      <c r="F39" s="17" t="str">
        <f aca="false">IFERROR(INDEX(商品資料!$H:$H,MATCH(A39,商品資料!$D:$D,0)),"")</f>
        <v/>
      </c>
      <c r="G39" s="17" t="str">
        <f aca="false">IF(OR(E39="",F39=""),"",ROUND(E39*F39,0))</f>
        <v/>
      </c>
    </row>
    <row r="40" customFormat="false" ht="15" hidden="false" customHeight="true" outlineLevel="0" collapsed="false">
      <c r="A40" s="13"/>
      <c r="B40" s="11"/>
      <c r="C40" s="13"/>
      <c r="D40" s="17" t="str">
        <f aca="false">IF(A40="","",SUMIF($A$2:$A$301,A40,$C$2:$C$301))</f>
        <v/>
      </c>
      <c r="E40" s="18" t="str">
        <f aca="false">IF(OR(A40="",D40="",D40=0),"",C40/D40)</f>
        <v/>
      </c>
      <c r="F40" s="17" t="str">
        <f aca="false">IFERROR(INDEX(商品資料!$H:$H,MATCH(A40,商品資料!$D:$D,0)),"")</f>
        <v/>
      </c>
      <c r="G40" s="17" t="str">
        <f aca="false">IF(OR(E40="",F40=""),"",ROUND(E40*F40,0))</f>
        <v/>
      </c>
    </row>
    <row r="41" customFormat="false" ht="15" hidden="false" customHeight="true" outlineLevel="0" collapsed="false">
      <c r="A41" s="13"/>
      <c r="B41" s="11"/>
      <c r="C41" s="13"/>
      <c r="D41" s="17" t="str">
        <f aca="false">IF(A41="","",SUMIF($A$2:$A$301,A41,$C$2:$C$301))</f>
        <v/>
      </c>
      <c r="E41" s="18" t="str">
        <f aca="false">IF(OR(A41="",D41="",D41=0),"",C41/D41)</f>
        <v/>
      </c>
      <c r="F41" s="17" t="str">
        <f aca="false">IFERROR(INDEX(商品資料!$H:$H,MATCH(A41,商品資料!$D:$D,0)),"")</f>
        <v/>
      </c>
      <c r="G41" s="17" t="str">
        <f aca="false">IF(OR(E41="",F41=""),"",ROUND(E41*F41,0))</f>
        <v/>
      </c>
    </row>
    <row r="42" customFormat="false" ht="15" hidden="false" customHeight="true" outlineLevel="0" collapsed="false">
      <c r="A42" s="13"/>
      <c r="B42" s="11"/>
      <c r="C42" s="13"/>
      <c r="D42" s="17" t="str">
        <f aca="false">IF(A42="","",SUMIF($A$2:$A$301,A42,$C$2:$C$301))</f>
        <v/>
      </c>
      <c r="E42" s="18" t="str">
        <f aca="false">IF(OR(A42="",D42="",D42=0),"",C42/D42)</f>
        <v/>
      </c>
      <c r="F42" s="17" t="str">
        <f aca="false">IFERROR(INDEX(商品資料!$H:$H,MATCH(A42,商品資料!$D:$D,0)),"")</f>
        <v/>
      </c>
      <c r="G42" s="17" t="str">
        <f aca="false">IF(OR(E42="",F42=""),"",ROUND(E42*F42,0))</f>
        <v/>
      </c>
    </row>
    <row r="43" customFormat="false" ht="15" hidden="false" customHeight="true" outlineLevel="0" collapsed="false">
      <c r="A43" s="13"/>
      <c r="B43" s="11"/>
      <c r="C43" s="13"/>
      <c r="D43" s="17" t="str">
        <f aca="false">IF(A43="","",SUMIF($A$2:$A$301,A43,$C$2:$C$301))</f>
        <v/>
      </c>
      <c r="E43" s="18" t="str">
        <f aca="false">IF(OR(A43="",D43="",D43=0),"",C43/D43)</f>
        <v/>
      </c>
      <c r="F43" s="17" t="str">
        <f aca="false">IFERROR(INDEX(商品資料!$H:$H,MATCH(A43,商品資料!$D:$D,0)),"")</f>
        <v/>
      </c>
      <c r="G43" s="17" t="str">
        <f aca="false">IF(OR(E43="",F43=""),"",ROUND(E43*F43,0))</f>
        <v/>
      </c>
    </row>
    <row r="44" customFormat="false" ht="15" hidden="false" customHeight="true" outlineLevel="0" collapsed="false">
      <c r="A44" s="13"/>
      <c r="B44" s="11"/>
      <c r="C44" s="13"/>
      <c r="D44" s="17" t="str">
        <f aca="false">IF(A44="","",SUMIF($A$2:$A$301,A44,$C$2:$C$301))</f>
        <v/>
      </c>
      <c r="E44" s="18" t="str">
        <f aca="false">IF(OR(A44="",D44="",D44=0),"",C44/D44)</f>
        <v/>
      </c>
      <c r="F44" s="17" t="str">
        <f aca="false">IFERROR(INDEX(商品資料!$H:$H,MATCH(A44,商品資料!$D:$D,0)),"")</f>
        <v/>
      </c>
      <c r="G44" s="17" t="str">
        <f aca="false">IF(OR(E44="",F44=""),"",ROUND(E44*F44,0))</f>
        <v/>
      </c>
    </row>
    <row r="45" customFormat="false" ht="15" hidden="false" customHeight="true" outlineLevel="0" collapsed="false">
      <c r="A45" s="13"/>
      <c r="B45" s="11"/>
      <c r="C45" s="13"/>
      <c r="D45" s="17" t="str">
        <f aca="false">IF(A45="","",SUMIF($A$2:$A$301,A45,$C$2:$C$301))</f>
        <v/>
      </c>
      <c r="E45" s="18" t="str">
        <f aca="false">IF(OR(A45="",D45="",D45=0),"",C45/D45)</f>
        <v/>
      </c>
      <c r="F45" s="17" t="str">
        <f aca="false">IFERROR(INDEX(商品資料!$H:$H,MATCH(A45,商品資料!$D:$D,0)),"")</f>
        <v/>
      </c>
      <c r="G45" s="17" t="str">
        <f aca="false">IF(OR(E45="",F45=""),"",ROUND(E45*F45,0))</f>
        <v/>
      </c>
    </row>
    <row r="46" customFormat="false" ht="15" hidden="false" customHeight="true" outlineLevel="0" collapsed="false">
      <c r="A46" s="13"/>
      <c r="B46" s="11"/>
      <c r="C46" s="13"/>
      <c r="D46" s="17" t="str">
        <f aca="false">IF(A46="","",SUMIF($A$2:$A$301,A46,$C$2:$C$301))</f>
        <v/>
      </c>
      <c r="E46" s="18" t="str">
        <f aca="false">IF(OR(A46="",D46="",D46=0),"",C46/D46)</f>
        <v/>
      </c>
      <c r="F46" s="17" t="str">
        <f aca="false">IFERROR(INDEX(商品資料!$H:$H,MATCH(A46,商品資料!$D:$D,0)),"")</f>
        <v/>
      </c>
      <c r="G46" s="17" t="str">
        <f aca="false">IF(OR(E46="",F46=""),"",ROUND(E46*F46,0))</f>
        <v/>
      </c>
    </row>
    <row r="47" customFormat="false" ht="15" hidden="false" customHeight="true" outlineLevel="0" collapsed="false">
      <c r="A47" s="13"/>
      <c r="B47" s="11"/>
      <c r="C47" s="13"/>
      <c r="D47" s="17" t="str">
        <f aca="false">IF(A47="","",SUMIF($A$2:$A$301,A47,$C$2:$C$301))</f>
        <v/>
      </c>
      <c r="E47" s="18" t="str">
        <f aca="false">IF(OR(A47="",D47="",D47=0),"",C47/D47)</f>
        <v/>
      </c>
      <c r="F47" s="17" t="str">
        <f aca="false">IFERROR(INDEX(商品資料!$H:$H,MATCH(A47,商品資料!$D:$D,0)),"")</f>
        <v/>
      </c>
      <c r="G47" s="17" t="str">
        <f aca="false">IF(OR(E47="",F47=""),"",ROUND(E47*F47,0))</f>
        <v/>
      </c>
    </row>
    <row r="48" customFormat="false" ht="15" hidden="false" customHeight="true" outlineLevel="0" collapsed="false">
      <c r="A48" s="13"/>
      <c r="B48" s="11"/>
      <c r="C48" s="13"/>
      <c r="D48" s="17" t="str">
        <f aca="false">IF(A48="","",SUMIF($A$2:$A$301,A48,$C$2:$C$301))</f>
        <v/>
      </c>
      <c r="E48" s="18" t="str">
        <f aca="false">IF(OR(A48="",D48="",D48=0),"",C48/D48)</f>
        <v/>
      </c>
      <c r="F48" s="17" t="str">
        <f aca="false">IFERROR(INDEX(商品資料!$H:$H,MATCH(A48,商品資料!$D:$D,0)),"")</f>
        <v/>
      </c>
      <c r="G48" s="17" t="str">
        <f aca="false">IF(OR(E48="",F48=""),"",ROUND(E48*F48,0))</f>
        <v/>
      </c>
    </row>
    <row r="49" customFormat="false" ht="15" hidden="false" customHeight="true" outlineLevel="0" collapsed="false">
      <c r="A49" s="13"/>
      <c r="B49" s="11"/>
      <c r="C49" s="13"/>
      <c r="D49" s="17" t="str">
        <f aca="false">IF(A49="","",SUMIF($A$2:$A$301,A49,$C$2:$C$301))</f>
        <v/>
      </c>
      <c r="E49" s="18" t="str">
        <f aca="false">IF(OR(A49="",D49="",D49=0),"",C49/D49)</f>
        <v/>
      </c>
      <c r="F49" s="17" t="str">
        <f aca="false">IFERROR(INDEX(商品資料!$H:$H,MATCH(A49,商品資料!$D:$D,0)),"")</f>
        <v/>
      </c>
      <c r="G49" s="17" t="str">
        <f aca="false">IF(OR(E49="",F49=""),"",ROUND(E49*F49,0))</f>
        <v/>
      </c>
    </row>
    <row r="50" customFormat="false" ht="15" hidden="false" customHeight="true" outlineLevel="0" collapsed="false">
      <c r="A50" s="13"/>
      <c r="B50" s="11"/>
      <c r="C50" s="13"/>
      <c r="D50" s="17" t="str">
        <f aca="false">IF(A50="","",SUMIF($A$2:$A$301,A50,$C$2:$C$301))</f>
        <v/>
      </c>
      <c r="E50" s="18" t="str">
        <f aca="false">IF(OR(A50="",D50="",D50=0),"",C50/D50)</f>
        <v/>
      </c>
      <c r="F50" s="17" t="str">
        <f aca="false">IFERROR(INDEX(商品資料!$H:$H,MATCH(A50,商品資料!$D:$D,0)),"")</f>
        <v/>
      </c>
      <c r="G50" s="17" t="str">
        <f aca="false">IF(OR(E50="",F50=""),"",ROUND(E50*F50,0))</f>
        <v/>
      </c>
    </row>
    <row r="51" customFormat="false" ht="15" hidden="false" customHeight="true" outlineLevel="0" collapsed="false">
      <c r="A51" s="13"/>
      <c r="B51" s="11"/>
      <c r="C51" s="13"/>
      <c r="D51" s="17" t="str">
        <f aca="false">IF(A51="","",SUMIF($A$2:$A$301,A51,$C$2:$C$301))</f>
        <v/>
      </c>
      <c r="E51" s="18" t="str">
        <f aca="false">IF(OR(A51="",D51="",D51=0),"",C51/D51)</f>
        <v/>
      </c>
      <c r="F51" s="17" t="str">
        <f aca="false">IFERROR(INDEX(商品資料!$H:$H,MATCH(A51,商品資料!$D:$D,0)),"")</f>
        <v/>
      </c>
      <c r="G51" s="17" t="str">
        <f aca="false">IF(OR(E51="",F51=""),"",ROUND(E51*F51,0))</f>
        <v/>
      </c>
    </row>
    <row r="52" customFormat="false" ht="15" hidden="false" customHeight="true" outlineLevel="0" collapsed="false">
      <c r="A52" s="13"/>
      <c r="B52" s="11"/>
      <c r="C52" s="13"/>
      <c r="D52" s="17" t="str">
        <f aca="false">IF(A52="","",SUMIF($A$2:$A$301,A52,$C$2:$C$301))</f>
        <v/>
      </c>
      <c r="E52" s="18" t="str">
        <f aca="false">IF(OR(A52="",D52="",D52=0),"",C52/D52)</f>
        <v/>
      </c>
      <c r="F52" s="17" t="str">
        <f aca="false">IFERROR(INDEX(商品資料!$H:$H,MATCH(A52,商品資料!$D:$D,0)),"")</f>
        <v/>
      </c>
      <c r="G52" s="17" t="str">
        <f aca="false">IF(OR(E52="",F52=""),"",ROUND(E52*F52,0))</f>
        <v/>
      </c>
    </row>
    <row r="53" customFormat="false" ht="15" hidden="false" customHeight="true" outlineLevel="0" collapsed="false">
      <c r="A53" s="13"/>
      <c r="B53" s="11"/>
      <c r="C53" s="13"/>
      <c r="D53" s="17" t="str">
        <f aca="false">IF(A53="","",SUMIF($A$2:$A$301,A53,$C$2:$C$301))</f>
        <v/>
      </c>
      <c r="E53" s="18" t="str">
        <f aca="false">IF(OR(A53="",D53="",D53=0),"",C53/D53)</f>
        <v/>
      </c>
      <c r="F53" s="17" t="str">
        <f aca="false">IFERROR(INDEX(商品資料!$H:$H,MATCH(A53,商品資料!$D:$D,0)),"")</f>
        <v/>
      </c>
      <c r="G53" s="17" t="str">
        <f aca="false">IF(OR(E53="",F53=""),"",ROUND(E53*F53,0))</f>
        <v/>
      </c>
    </row>
    <row r="54" customFormat="false" ht="15" hidden="false" customHeight="true" outlineLevel="0" collapsed="false">
      <c r="A54" s="13"/>
      <c r="B54" s="11"/>
      <c r="C54" s="13"/>
      <c r="D54" s="17" t="str">
        <f aca="false">IF(A54="","",SUMIF($A$2:$A$301,A54,$C$2:$C$301))</f>
        <v/>
      </c>
      <c r="E54" s="18" t="str">
        <f aca="false">IF(OR(A54="",D54="",D54=0),"",C54/D54)</f>
        <v/>
      </c>
      <c r="F54" s="17" t="str">
        <f aca="false">IFERROR(INDEX(商品資料!$H:$H,MATCH(A54,商品資料!$D:$D,0)),"")</f>
        <v/>
      </c>
      <c r="G54" s="17" t="str">
        <f aca="false">IF(OR(E54="",F54=""),"",ROUND(E54*F54,0))</f>
        <v/>
      </c>
    </row>
    <row r="55" customFormat="false" ht="15" hidden="false" customHeight="true" outlineLevel="0" collapsed="false">
      <c r="A55" s="13"/>
      <c r="B55" s="11"/>
      <c r="C55" s="13"/>
      <c r="D55" s="17" t="str">
        <f aca="false">IF(A55="","",SUMIF($A$2:$A$301,A55,$C$2:$C$301))</f>
        <v/>
      </c>
      <c r="E55" s="18" t="str">
        <f aca="false">IF(OR(A55="",D55="",D55=0),"",C55/D55)</f>
        <v/>
      </c>
      <c r="F55" s="17" t="str">
        <f aca="false">IFERROR(INDEX(商品資料!$H:$H,MATCH(A55,商品資料!$D:$D,0)),"")</f>
        <v/>
      </c>
      <c r="G55" s="17" t="str">
        <f aca="false">IF(OR(E55="",F55=""),"",ROUND(E55*F55,0))</f>
        <v/>
      </c>
    </row>
    <row r="56" customFormat="false" ht="15" hidden="false" customHeight="true" outlineLevel="0" collapsed="false">
      <c r="A56" s="13"/>
      <c r="B56" s="11"/>
      <c r="C56" s="13"/>
      <c r="D56" s="17" t="str">
        <f aca="false">IF(A56="","",SUMIF($A$2:$A$301,A56,$C$2:$C$301))</f>
        <v/>
      </c>
      <c r="E56" s="18" t="str">
        <f aca="false">IF(OR(A56="",D56="",D56=0),"",C56/D56)</f>
        <v/>
      </c>
      <c r="F56" s="17" t="str">
        <f aca="false">IFERROR(INDEX(商品資料!$H:$H,MATCH(A56,商品資料!$D:$D,0)),"")</f>
        <v/>
      </c>
      <c r="G56" s="17" t="str">
        <f aca="false">IF(OR(E56="",F56=""),"",ROUND(E56*F56,0))</f>
        <v/>
      </c>
    </row>
    <row r="57" customFormat="false" ht="15" hidden="false" customHeight="true" outlineLevel="0" collapsed="false">
      <c r="A57" s="13"/>
      <c r="B57" s="11"/>
      <c r="C57" s="13"/>
      <c r="D57" s="17" t="str">
        <f aca="false">IF(A57="","",SUMIF($A$2:$A$301,A57,$C$2:$C$301))</f>
        <v/>
      </c>
      <c r="E57" s="18" t="str">
        <f aca="false">IF(OR(A57="",D57="",D57=0),"",C57/D57)</f>
        <v/>
      </c>
      <c r="F57" s="17" t="str">
        <f aca="false">IFERROR(INDEX(商品資料!$H:$H,MATCH(A57,商品資料!$D:$D,0)),"")</f>
        <v/>
      </c>
      <c r="G57" s="17" t="str">
        <f aca="false">IF(OR(E57="",F57=""),"",ROUND(E57*F57,0))</f>
        <v/>
      </c>
    </row>
    <row r="58" customFormat="false" ht="15" hidden="false" customHeight="true" outlineLevel="0" collapsed="false">
      <c r="A58" s="13"/>
      <c r="B58" s="11"/>
      <c r="C58" s="13"/>
      <c r="D58" s="17" t="str">
        <f aca="false">IF(A58="","",SUMIF($A$2:$A$301,A58,$C$2:$C$301))</f>
        <v/>
      </c>
      <c r="E58" s="18" t="str">
        <f aca="false">IF(OR(A58="",D58="",D58=0),"",C58/D58)</f>
        <v/>
      </c>
      <c r="F58" s="17" t="str">
        <f aca="false">IFERROR(INDEX(商品資料!$H:$H,MATCH(A58,商品資料!$D:$D,0)),"")</f>
        <v/>
      </c>
      <c r="G58" s="17" t="str">
        <f aca="false">IF(OR(E58="",F58=""),"",ROUND(E58*F58,0))</f>
        <v/>
      </c>
    </row>
    <row r="59" customFormat="false" ht="15" hidden="false" customHeight="true" outlineLevel="0" collapsed="false">
      <c r="A59" s="13"/>
      <c r="B59" s="11"/>
      <c r="C59" s="13"/>
      <c r="D59" s="17" t="str">
        <f aca="false">IF(A59="","",SUMIF($A$2:$A$301,A59,$C$2:$C$301))</f>
        <v/>
      </c>
      <c r="E59" s="18" t="str">
        <f aca="false">IF(OR(A59="",D59="",D59=0),"",C59/D59)</f>
        <v/>
      </c>
      <c r="F59" s="17" t="str">
        <f aca="false">IFERROR(INDEX(商品資料!$H:$H,MATCH(A59,商品資料!$D:$D,0)),"")</f>
        <v/>
      </c>
      <c r="G59" s="17" t="str">
        <f aca="false">IF(OR(E59="",F59=""),"",ROUND(E59*F59,0))</f>
        <v/>
      </c>
    </row>
    <row r="60" customFormat="false" ht="15" hidden="false" customHeight="true" outlineLevel="0" collapsed="false">
      <c r="A60" s="13"/>
      <c r="B60" s="11"/>
      <c r="C60" s="13"/>
      <c r="D60" s="17" t="str">
        <f aca="false">IF(A60="","",SUMIF($A$2:$A$301,A60,$C$2:$C$301))</f>
        <v/>
      </c>
      <c r="E60" s="18" t="str">
        <f aca="false">IF(OR(A60="",D60="",D60=0),"",C60/D60)</f>
        <v/>
      </c>
      <c r="F60" s="17" t="str">
        <f aca="false">IFERROR(INDEX(商品資料!$H:$H,MATCH(A60,商品資料!$D:$D,0)),"")</f>
        <v/>
      </c>
      <c r="G60" s="17" t="str">
        <f aca="false">IF(OR(E60="",F60=""),"",ROUND(E60*F60,0))</f>
        <v/>
      </c>
    </row>
    <row r="61" customFormat="false" ht="15" hidden="false" customHeight="true" outlineLevel="0" collapsed="false">
      <c r="A61" s="13"/>
      <c r="B61" s="11"/>
      <c r="C61" s="13"/>
      <c r="D61" s="17" t="str">
        <f aca="false">IF(A61="","",SUMIF($A$2:$A$301,A61,$C$2:$C$301))</f>
        <v/>
      </c>
      <c r="E61" s="18" t="str">
        <f aca="false">IF(OR(A61="",D61="",D61=0),"",C61/D61)</f>
        <v/>
      </c>
      <c r="F61" s="17" t="str">
        <f aca="false">IFERROR(INDEX(商品資料!$H:$H,MATCH(A61,商品資料!$D:$D,0)),"")</f>
        <v/>
      </c>
      <c r="G61" s="17" t="str">
        <f aca="false">IF(OR(E61="",F61=""),"",ROUND(E61*F61,0))</f>
        <v/>
      </c>
    </row>
    <row r="62" customFormat="false" ht="15" hidden="false" customHeight="true" outlineLevel="0" collapsed="false">
      <c r="A62" s="13"/>
      <c r="B62" s="11"/>
      <c r="C62" s="13"/>
      <c r="D62" s="17" t="str">
        <f aca="false">IF(A62="","",SUMIF($A$2:$A$301,A62,$C$2:$C$301))</f>
        <v/>
      </c>
      <c r="E62" s="18" t="str">
        <f aca="false">IF(OR(A62="",D62="",D62=0),"",C62/D62)</f>
        <v/>
      </c>
      <c r="F62" s="17" t="str">
        <f aca="false">IFERROR(INDEX(商品資料!$H:$H,MATCH(A62,商品資料!$D:$D,0)),"")</f>
        <v/>
      </c>
      <c r="G62" s="17" t="str">
        <f aca="false">IF(OR(E62="",F62=""),"",ROUND(E62*F62,0))</f>
        <v/>
      </c>
    </row>
    <row r="63" customFormat="false" ht="15" hidden="false" customHeight="true" outlineLevel="0" collapsed="false">
      <c r="A63" s="13"/>
      <c r="B63" s="11"/>
      <c r="C63" s="13"/>
      <c r="D63" s="17" t="str">
        <f aca="false">IF(A63="","",SUMIF($A$2:$A$301,A63,$C$2:$C$301))</f>
        <v/>
      </c>
      <c r="E63" s="18" t="str">
        <f aca="false">IF(OR(A63="",D63="",D63=0),"",C63/D63)</f>
        <v/>
      </c>
      <c r="F63" s="17" t="str">
        <f aca="false">IFERROR(INDEX(商品資料!$H:$H,MATCH(A63,商品資料!$D:$D,0)),"")</f>
        <v/>
      </c>
      <c r="G63" s="17" t="str">
        <f aca="false">IF(OR(E63="",F63=""),"",ROUND(E63*F63,0))</f>
        <v/>
      </c>
    </row>
    <row r="64" customFormat="false" ht="15" hidden="false" customHeight="true" outlineLevel="0" collapsed="false">
      <c r="A64" s="13"/>
      <c r="B64" s="11"/>
      <c r="C64" s="13"/>
      <c r="D64" s="17" t="str">
        <f aca="false">IF(A64="","",SUMIF($A$2:$A$301,A64,$C$2:$C$301))</f>
        <v/>
      </c>
      <c r="E64" s="18" t="str">
        <f aca="false">IF(OR(A64="",D64="",D64=0),"",C64/D64)</f>
        <v/>
      </c>
      <c r="F64" s="17" t="str">
        <f aca="false">IFERROR(INDEX(商品資料!$H:$H,MATCH(A64,商品資料!$D:$D,0)),"")</f>
        <v/>
      </c>
      <c r="G64" s="17" t="str">
        <f aca="false">IF(OR(E64="",F64=""),"",ROUND(E64*F64,0))</f>
        <v/>
      </c>
    </row>
    <row r="65" customFormat="false" ht="15" hidden="false" customHeight="true" outlineLevel="0" collapsed="false">
      <c r="A65" s="13"/>
      <c r="B65" s="11"/>
      <c r="C65" s="13"/>
      <c r="D65" s="17" t="str">
        <f aca="false">IF(A65="","",SUMIF($A$2:$A$301,A65,$C$2:$C$301))</f>
        <v/>
      </c>
      <c r="E65" s="18" t="str">
        <f aca="false">IF(OR(A65="",D65="",D65=0),"",C65/D65)</f>
        <v/>
      </c>
      <c r="F65" s="17" t="str">
        <f aca="false">IFERROR(INDEX(商品資料!$H:$H,MATCH(A65,商品資料!$D:$D,0)),"")</f>
        <v/>
      </c>
      <c r="G65" s="17" t="str">
        <f aca="false">IF(OR(E65="",F65=""),"",ROUND(E65*F65,0))</f>
        <v/>
      </c>
    </row>
    <row r="66" customFormat="false" ht="15" hidden="false" customHeight="true" outlineLevel="0" collapsed="false">
      <c r="A66" s="13"/>
      <c r="B66" s="11"/>
      <c r="C66" s="13"/>
      <c r="D66" s="17" t="str">
        <f aca="false">IF(A66="","",SUMIF($A$2:$A$301,A66,$C$2:$C$301))</f>
        <v/>
      </c>
      <c r="E66" s="18" t="str">
        <f aca="false">IF(OR(A66="",D66="",D66=0),"",C66/D66)</f>
        <v/>
      </c>
      <c r="F66" s="17" t="str">
        <f aca="false">IFERROR(INDEX(商品資料!$H:$H,MATCH(A66,商品資料!$D:$D,0)),"")</f>
        <v/>
      </c>
      <c r="G66" s="17" t="str">
        <f aca="false">IF(OR(E66="",F66=""),"",ROUND(E66*F66,0))</f>
        <v/>
      </c>
    </row>
    <row r="67" customFormat="false" ht="15" hidden="false" customHeight="true" outlineLevel="0" collapsed="false">
      <c r="A67" s="13"/>
      <c r="B67" s="11"/>
      <c r="C67" s="13"/>
      <c r="D67" s="17" t="str">
        <f aca="false">IF(A67="","",SUMIF($A$2:$A$301,A67,$C$2:$C$301))</f>
        <v/>
      </c>
      <c r="E67" s="18" t="str">
        <f aca="false">IF(OR(A67="",D67="",D67=0),"",C67/D67)</f>
        <v/>
      </c>
      <c r="F67" s="17" t="str">
        <f aca="false">IFERROR(INDEX(商品資料!$H:$H,MATCH(A67,商品資料!$D:$D,0)),"")</f>
        <v/>
      </c>
      <c r="G67" s="17" t="str">
        <f aca="false">IF(OR(E67="",F67=""),"",ROUND(E67*F67,0))</f>
        <v/>
      </c>
    </row>
    <row r="68" customFormat="false" ht="15" hidden="false" customHeight="true" outlineLevel="0" collapsed="false">
      <c r="A68" s="13"/>
      <c r="B68" s="11"/>
      <c r="C68" s="13"/>
      <c r="D68" s="17" t="str">
        <f aca="false">IF(A68="","",SUMIF($A$2:$A$301,A68,$C$2:$C$301))</f>
        <v/>
      </c>
      <c r="E68" s="18" t="str">
        <f aca="false">IF(OR(A68="",D68="",D68=0),"",C68/D68)</f>
        <v/>
      </c>
      <c r="F68" s="17" t="str">
        <f aca="false">IFERROR(INDEX(商品資料!$H:$H,MATCH(A68,商品資料!$D:$D,0)),"")</f>
        <v/>
      </c>
      <c r="G68" s="17" t="str">
        <f aca="false">IF(OR(E68="",F68=""),"",ROUND(E68*F68,0))</f>
        <v/>
      </c>
    </row>
    <row r="69" customFormat="false" ht="15" hidden="false" customHeight="true" outlineLevel="0" collapsed="false">
      <c r="A69" s="13"/>
      <c r="B69" s="11"/>
      <c r="C69" s="13"/>
      <c r="D69" s="17" t="str">
        <f aca="false">IF(A69="","",SUMIF($A$2:$A$301,A69,$C$2:$C$301))</f>
        <v/>
      </c>
      <c r="E69" s="18" t="str">
        <f aca="false">IF(OR(A69="",D69="",D69=0),"",C69/D69)</f>
        <v/>
      </c>
      <c r="F69" s="17" t="str">
        <f aca="false">IFERROR(INDEX(商品資料!$H:$H,MATCH(A69,商品資料!$D:$D,0)),"")</f>
        <v/>
      </c>
      <c r="G69" s="17" t="str">
        <f aca="false">IF(OR(E69="",F69=""),"",ROUND(E69*F69,0))</f>
        <v/>
      </c>
    </row>
    <row r="70" customFormat="false" ht="15" hidden="false" customHeight="true" outlineLevel="0" collapsed="false">
      <c r="A70" s="13"/>
      <c r="B70" s="11"/>
      <c r="C70" s="13"/>
      <c r="D70" s="17" t="str">
        <f aca="false">IF(A70="","",SUMIF($A$2:$A$301,A70,$C$2:$C$301))</f>
        <v/>
      </c>
      <c r="E70" s="18" t="str">
        <f aca="false">IF(OR(A70="",D70="",D70=0),"",C70/D70)</f>
        <v/>
      </c>
      <c r="F70" s="17" t="str">
        <f aca="false">IFERROR(INDEX(商品資料!$H:$H,MATCH(A70,商品資料!$D:$D,0)),"")</f>
        <v/>
      </c>
      <c r="G70" s="17" t="str">
        <f aca="false">IF(OR(E70="",F70=""),"",ROUND(E70*F70,0))</f>
        <v/>
      </c>
    </row>
    <row r="71" customFormat="false" ht="15" hidden="false" customHeight="true" outlineLevel="0" collapsed="false">
      <c r="A71" s="13"/>
      <c r="B71" s="11"/>
      <c r="C71" s="13"/>
      <c r="D71" s="17" t="str">
        <f aca="false">IF(A71="","",SUMIF($A$2:$A$301,A71,$C$2:$C$301))</f>
        <v/>
      </c>
      <c r="E71" s="18" t="str">
        <f aca="false">IF(OR(A71="",D71="",D71=0),"",C71/D71)</f>
        <v/>
      </c>
      <c r="F71" s="17" t="str">
        <f aca="false">IFERROR(INDEX(商品資料!$H:$H,MATCH(A71,商品資料!$D:$D,0)),"")</f>
        <v/>
      </c>
      <c r="G71" s="17" t="str">
        <f aca="false">IF(OR(E71="",F71=""),"",ROUND(E71*F71,0))</f>
        <v/>
      </c>
    </row>
    <row r="72" customFormat="false" ht="15" hidden="false" customHeight="true" outlineLevel="0" collapsed="false">
      <c r="A72" s="13"/>
      <c r="B72" s="11"/>
      <c r="C72" s="13"/>
      <c r="D72" s="17" t="str">
        <f aca="false">IF(A72="","",SUMIF($A$2:$A$301,A72,$C$2:$C$301))</f>
        <v/>
      </c>
      <c r="E72" s="18" t="str">
        <f aca="false">IF(OR(A72="",D72="",D72=0),"",C72/D72)</f>
        <v/>
      </c>
      <c r="F72" s="17" t="str">
        <f aca="false">IFERROR(INDEX(商品資料!$H:$H,MATCH(A72,商品資料!$D:$D,0)),"")</f>
        <v/>
      </c>
      <c r="G72" s="17" t="str">
        <f aca="false">IF(OR(E72="",F72=""),"",ROUND(E72*F72,0))</f>
        <v/>
      </c>
    </row>
    <row r="73" customFormat="false" ht="15" hidden="false" customHeight="true" outlineLevel="0" collapsed="false">
      <c r="A73" s="13"/>
      <c r="B73" s="11"/>
      <c r="C73" s="13"/>
      <c r="D73" s="17" t="str">
        <f aca="false">IF(A73="","",SUMIF($A$2:$A$301,A73,$C$2:$C$301))</f>
        <v/>
      </c>
      <c r="E73" s="18" t="str">
        <f aca="false">IF(OR(A73="",D73="",D73=0),"",C73/D73)</f>
        <v/>
      </c>
      <c r="F73" s="17" t="str">
        <f aca="false">IFERROR(INDEX(商品資料!$H:$H,MATCH(A73,商品資料!$D:$D,0)),"")</f>
        <v/>
      </c>
      <c r="G73" s="17" t="str">
        <f aca="false">IF(OR(E73="",F73=""),"",ROUND(E73*F73,0))</f>
        <v/>
      </c>
    </row>
    <row r="74" customFormat="false" ht="15" hidden="false" customHeight="true" outlineLevel="0" collapsed="false">
      <c r="A74" s="13"/>
      <c r="B74" s="11"/>
      <c r="C74" s="13"/>
      <c r="D74" s="17" t="str">
        <f aca="false">IF(A74="","",SUMIF($A$2:$A$301,A74,$C$2:$C$301))</f>
        <v/>
      </c>
      <c r="E74" s="18" t="str">
        <f aca="false">IF(OR(A74="",D74="",D74=0),"",C74/D74)</f>
        <v/>
      </c>
      <c r="F74" s="17" t="str">
        <f aca="false">IFERROR(INDEX(商品資料!$H:$H,MATCH(A74,商品資料!$D:$D,0)),"")</f>
        <v/>
      </c>
      <c r="G74" s="17" t="str">
        <f aca="false">IF(OR(E74="",F74=""),"",ROUND(E74*F74,0))</f>
        <v/>
      </c>
    </row>
    <row r="75" customFormat="false" ht="15" hidden="false" customHeight="true" outlineLevel="0" collapsed="false">
      <c r="A75" s="13"/>
      <c r="B75" s="11"/>
      <c r="C75" s="13"/>
      <c r="D75" s="17" t="str">
        <f aca="false">IF(A75="","",SUMIF($A$2:$A$301,A75,$C$2:$C$301))</f>
        <v/>
      </c>
      <c r="E75" s="18" t="str">
        <f aca="false">IF(OR(A75="",D75="",D75=0),"",C75/D75)</f>
        <v/>
      </c>
      <c r="F75" s="17" t="str">
        <f aca="false">IFERROR(INDEX(商品資料!$H:$H,MATCH(A75,商品資料!$D:$D,0)),"")</f>
        <v/>
      </c>
      <c r="G75" s="17" t="str">
        <f aca="false">IF(OR(E75="",F75=""),"",ROUND(E75*F75,0))</f>
        <v/>
      </c>
    </row>
    <row r="76" customFormat="false" ht="15" hidden="false" customHeight="true" outlineLevel="0" collapsed="false">
      <c r="A76" s="13"/>
      <c r="B76" s="11"/>
      <c r="C76" s="13"/>
      <c r="D76" s="17" t="str">
        <f aca="false">IF(A76="","",SUMIF($A$2:$A$301,A76,$C$2:$C$301))</f>
        <v/>
      </c>
      <c r="E76" s="18" t="str">
        <f aca="false">IF(OR(A76="",D76="",D76=0),"",C76/D76)</f>
        <v/>
      </c>
      <c r="F76" s="17" t="str">
        <f aca="false">IFERROR(INDEX(商品資料!$H:$H,MATCH(A76,商品資料!$D:$D,0)),"")</f>
        <v/>
      </c>
      <c r="G76" s="17" t="str">
        <f aca="false">IF(OR(E76="",F76=""),"",ROUND(E76*F76,0))</f>
        <v/>
      </c>
    </row>
    <row r="77" customFormat="false" ht="15" hidden="false" customHeight="true" outlineLevel="0" collapsed="false">
      <c r="A77" s="13"/>
      <c r="B77" s="11"/>
      <c r="C77" s="13"/>
      <c r="D77" s="17" t="str">
        <f aca="false">IF(A77="","",SUMIF($A$2:$A$301,A77,$C$2:$C$301))</f>
        <v/>
      </c>
      <c r="E77" s="18" t="str">
        <f aca="false">IF(OR(A77="",D77="",D77=0),"",C77/D77)</f>
        <v/>
      </c>
      <c r="F77" s="17" t="str">
        <f aca="false">IFERROR(INDEX(商品資料!$H:$H,MATCH(A77,商品資料!$D:$D,0)),"")</f>
        <v/>
      </c>
      <c r="G77" s="17" t="str">
        <f aca="false">IF(OR(E77="",F77=""),"",ROUND(E77*F77,0))</f>
        <v/>
      </c>
    </row>
    <row r="78" customFormat="false" ht="15" hidden="false" customHeight="true" outlineLevel="0" collapsed="false">
      <c r="A78" s="13"/>
      <c r="B78" s="11"/>
      <c r="C78" s="13"/>
      <c r="D78" s="17" t="str">
        <f aca="false">IF(A78="","",SUMIF($A$2:$A$301,A78,$C$2:$C$301))</f>
        <v/>
      </c>
      <c r="E78" s="18" t="str">
        <f aca="false">IF(OR(A78="",D78="",D78=0),"",C78/D78)</f>
        <v/>
      </c>
      <c r="F78" s="17" t="str">
        <f aca="false">IFERROR(INDEX(商品資料!$H:$H,MATCH(A78,商品資料!$D:$D,0)),"")</f>
        <v/>
      </c>
      <c r="G78" s="17" t="str">
        <f aca="false">IF(OR(E78="",F78=""),"",ROUND(E78*F78,0))</f>
        <v/>
      </c>
    </row>
    <row r="79" customFormat="false" ht="15" hidden="false" customHeight="true" outlineLevel="0" collapsed="false">
      <c r="A79" s="13"/>
      <c r="B79" s="11"/>
      <c r="C79" s="13"/>
      <c r="D79" s="17" t="str">
        <f aca="false">IF(A79="","",SUMIF($A$2:$A$301,A79,$C$2:$C$301))</f>
        <v/>
      </c>
      <c r="E79" s="18" t="str">
        <f aca="false">IF(OR(A79="",D79="",D79=0),"",C79/D79)</f>
        <v/>
      </c>
      <c r="F79" s="17" t="str">
        <f aca="false">IFERROR(INDEX(商品資料!$H:$H,MATCH(A79,商品資料!$D:$D,0)),"")</f>
        <v/>
      </c>
      <c r="G79" s="17" t="str">
        <f aca="false">IF(OR(E79="",F79=""),"",ROUND(E79*F79,0))</f>
        <v/>
      </c>
    </row>
    <row r="80" customFormat="false" ht="15" hidden="false" customHeight="true" outlineLevel="0" collapsed="false">
      <c r="A80" s="13"/>
      <c r="B80" s="11"/>
      <c r="C80" s="13"/>
      <c r="D80" s="17" t="str">
        <f aca="false">IF(A80="","",SUMIF($A$2:$A$301,A80,$C$2:$C$301))</f>
        <v/>
      </c>
      <c r="E80" s="18" t="str">
        <f aca="false">IF(OR(A80="",D80="",D80=0),"",C80/D80)</f>
        <v/>
      </c>
      <c r="F80" s="17" t="str">
        <f aca="false">IFERROR(INDEX(商品資料!$H:$H,MATCH(A80,商品資料!$D:$D,0)),"")</f>
        <v/>
      </c>
      <c r="G80" s="17" t="str">
        <f aca="false">IF(OR(E80="",F80=""),"",ROUND(E80*F80,0))</f>
        <v/>
      </c>
    </row>
    <row r="81" customFormat="false" ht="15" hidden="false" customHeight="true" outlineLevel="0" collapsed="false">
      <c r="A81" s="13"/>
      <c r="B81" s="11"/>
      <c r="C81" s="13"/>
      <c r="D81" s="17" t="str">
        <f aca="false">IF(A81="","",SUMIF($A$2:$A$301,A81,$C$2:$C$301))</f>
        <v/>
      </c>
      <c r="E81" s="18" t="str">
        <f aca="false">IF(OR(A81="",D81="",D81=0),"",C81/D81)</f>
        <v/>
      </c>
      <c r="F81" s="17" t="str">
        <f aca="false">IFERROR(INDEX(商品資料!$H:$H,MATCH(A81,商品資料!$D:$D,0)),"")</f>
        <v/>
      </c>
      <c r="G81" s="17" t="str">
        <f aca="false">IF(OR(E81="",F81=""),"",ROUND(E81*F81,0))</f>
        <v/>
      </c>
    </row>
    <row r="82" customFormat="false" ht="15" hidden="false" customHeight="true" outlineLevel="0" collapsed="false">
      <c r="A82" s="13"/>
      <c r="B82" s="11"/>
      <c r="C82" s="13"/>
      <c r="D82" s="17" t="str">
        <f aca="false">IF(A82="","",SUMIF($A$2:$A$301,A82,$C$2:$C$301))</f>
        <v/>
      </c>
      <c r="E82" s="18" t="str">
        <f aca="false">IF(OR(A82="",D82="",D82=0),"",C82/D82)</f>
        <v/>
      </c>
      <c r="F82" s="17" t="str">
        <f aca="false">IFERROR(INDEX(商品資料!$H:$H,MATCH(A82,商品資料!$D:$D,0)),"")</f>
        <v/>
      </c>
      <c r="G82" s="17" t="str">
        <f aca="false">IF(OR(E82="",F82=""),"",ROUND(E82*F82,0))</f>
        <v/>
      </c>
    </row>
    <row r="83" customFormat="false" ht="15" hidden="false" customHeight="true" outlineLevel="0" collapsed="false">
      <c r="A83" s="13"/>
      <c r="B83" s="11"/>
      <c r="C83" s="13"/>
      <c r="D83" s="17" t="str">
        <f aca="false">IF(A83="","",SUMIF($A$2:$A$301,A83,$C$2:$C$301))</f>
        <v/>
      </c>
      <c r="E83" s="18" t="str">
        <f aca="false">IF(OR(A83="",D83="",D83=0),"",C83/D83)</f>
        <v/>
      </c>
      <c r="F83" s="17" t="str">
        <f aca="false">IFERROR(INDEX(商品資料!$H:$H,MATCH(A83,商品資料!$D:$D,0)),"")</f>
        <v/>
      </c>
      <c r="G83" s="17" t="str">
        <f aca="false">IF(OR(E83="",F83=""),"",ROUND(E83*F83,0))</f>
        <v/>
      </c>
    </row>
    <row r="84" customFormat="false" ht="15" hidden="false" customHeight="true" outlineLevel="0" collapsed="false">
      <c r="A84" s="13"/>
      <c r="B84" s="11"/>
      <c r="C84" s="13"/>
      <c r="D84" s="17" t="str">
        <f aca="false">IF(A84="","",SUMIF($A$2:$A$301,A84,$C$2:$C$301))</f>
        <v/>
      </c>
      <c r="E84" s="18" t="str">
        <f aca="false">IF(OR(A84="",D84="",D84=0),"",C84/D84)</f>
        <v/>
      </c>
      <c r="F84" s="17" t="str">
        <f aca="false">IFERROR(INDEX(商品資料!$H:$H,MATCH(A84,商品資料!$D:$D,0)),"")</f>
        <v/>
      </c>
      <c r="G84" s="17" t="str">
        <f aca="false">IF(OR(E84="",F84=""),"",ROUND(E84*F84,0))</f>
        <v/>
      </c>
    </row>
    <row r="85" customFormat="false" ht="15" hidden="false" customHeight="true" outlineLevel="0" collapsed="false">
      <c r="A85" s="13"/>
      <c r="B85" s="11"/>
      <c r="C85" s="13"/>
      <c r="D85" s="17" t="str">
        <f aca="false">IF(A85="","",SUMIF($A$2:$A$301,A85,$C$2:$C$301))</f>
        <v/>
      </c>
      <c r="E85" s="18" t="str">
        <f aca="false">IF(OR(A85="",D85="",D85=0),"",C85/D85)</f>
        <v/>
      </c>
      <c r="F85" s="17" t="str">
        <f aca="false">IFERROR(INDEX(商品資料!$H:$H,MATCH(A85,商品資料!$D:$D,0)),"")</f>
        <v/>
      </c>
      <c r="G85" s="17" t="str">
        <f aca="false">IF(OR(E85="",F85=""),"",ROUND(E85*F85,0))</f>
        <v/>
      </c>
    </row>
    <row r="86" customFormat="false" ht="15" hidden="false" customHeight="true" outlineLevel="0" collapsed="false">
      <c r="A86" s="13"/>
      <c r="B86" s="11"/>
      <c r="C86" s="13"/>
      <c r="D86" s="17" t="str">
        <f aca="false">IF(A86="","",SUMIF($A$2:$A$301,A86,$C$2:$C$301))</f>
        <v/>
      </c>
      <c r="E86" s="18" t="str">
        <f aca="false">IF(OR(A86="",D86="",D86=0),"",C86/D86)</f>
        <v/>
      </c>
      <c r="F86" s="17" t="str">
        <f aca="false">IFERROR(INDEX(商品資料!$H:$H,MATCH(A86,商品資料!$D:$D,0)),"")</f>
        <v/>
      </c>
      <c r="G86" s="17" t="str">
        <f aca="false">IF(OR(E86="",F86=""),"",ROUND(E86*F86,0))</f>
        <v/>
      </c>
    </row>
    <row r="87" customFormat="false" ht="15" hidden="false" customHeight="true" outlineLevel="0" collapsed="false">
      <c r="A87" s="13"/>
      <c r="B87" s="11"/>
      <c r="C87" s="13"/>
      <c r="D87" s="17" t="str">
        <f aca="false">IF(A87="","",SUMIF($A$2:$A$301,A87,$C$2:$C$301))</f>
        <v/>
      </c>
      <c r="E87" s="18" t="str">
        <f aca="false">IF(OR(A87="",D87="",D87=0),"",C87/D87)</f>
        <v/>
      </c>
      <c r="F87" s="17" t="str">
        <f aca="false">IFERROR(INDEX(商品資料!$H:$H,MATCH(A87,商品資料!$D:$D,0)),"")</f>
        <v/>
      </c>
      <c r="G87" s="17" t="str">
        <f aca="false">IF(OR(E87="",F87=""),"",ROUND(E87*F87,0))</f>
        <v/>
      </c>
    </row>
    <row r="88" customFormat="false" ht="15" hidden="false" customHeight="true" outlineLevel="0" collapsed="false">
      <c r="A88" s="13"/>
      <c r="B88" s="11"/>
      <c r="C88" s="13"/>
      <c r="D88" s="17" t="str">
        <f aca="false">IF(A88="","",SUMIF($A$2:$A$301,A88,$C$2:$C$301))</f>
        <v/>
      </c>
      <c r="E88" s="18" t="str">
        <f aca="false">IF(OR(A88="",D88="",D88=0),"",C88/D88)</f>
        <v/>
      </c>
      <c r="F88" s="17" t="str">
        <f aca="false">IFERROR(INDEX(商品資料!$H:$H,MATCH(A88,商品資料!$D:$D,0)),"")</f>
        <v/>
      </c>
      <c r="G88" s="17" t="str">
        <f aca="false">IF(OR(E88="",F88=""),"",ROUND(E88*F88,0))</f>
        <v/>
      </c>
    </row>
    <row r="89" customFormat="false" ht="15" hidden="false" customHeight="true" outlineLevel="0" collapsed="false">
      <c r="A89" s="13"/>
      <c r="B89" s="11"/>
      <c r="C89" s="13"/>
      <c r="D89" s="17" t="str">
        <f aca="false">IF(A89="","",SUMIF($A$2:$A$301,A89,$C$2:$C$301))</f>
        <v/>
      </c>
      <c r="E89" s="18" t="str">
        <f aca="false">IF(OR(A89="",D89="",D89=0),"",C89/D89)</f>
        <v/>
      </c>
      <c r="F89" s="17" t="str">
        <f aca="false">IFERROR(INDEX(商品資料!$H:$H,MATCH(A89,商品資料!$D:$D,0)),"")</f>
        <v/>
      </c>
      <c r="G89" s="17" t="str">
        <f aca="false">IF(OR(E89="",F89=""),"",ROUND(E89*F89,0))</f>
        <v/>
      </c>
    </row>
    <row r="90" customFormat="false" ht="15" hidden="false" customHeight="true" outlineLevel="0" collapsed="false">
      <c r="A90" s="13"/>
      <c r="B90" s="11"/>
      <c r="C90" s="13"/>
      <c r="D90" s="17" t="str">
        <f aca="false">IF(A90="","",SUMIF($A$2:$A$301,A90,$C$2:$C$301))</f>
        <v/>
      </c>
      <c r="E90" s="18" t="str">
        <f aca="false">IF(OR(A90="",D90="",D90=0),"",C90/D90)</f>
        <v/>
      </c>
      <c r="F90" s="17" t="str">
        <f aca="false">IFERROR(INDEX(商品資料!$H:$H,MATCH(A90,商品資料!$D:$D,0)),"")</f>
        <v/>
      </c>
      <c r="G90" s="17" t="str">
        <f aca="false">IF(OR(E90="",F90=""),"",ROUND(E90*F90,0))</f>
        <v/>
      </c>
    </row>
    <row r="91" customFormat="false" ht="15" hidden="false" customHeight="true" outlineLevel="0" collapsed="false">
      <c r="A91" s="13"/>
      <c r="B91" s="11"/>
      <c r="C91" s="13"/>
      <c r="D91" s="17" t="str">
        <f aca="false">IF(A91="","",SUMIF($A$2:$A$301,A91,$C$2:$C$301))</f>
        <v/>
      </c>
      <c r="E91" s="18" t="str">
        <f aca="false">IF(OR(A91="",D91="",D91=0),"",C91/D91)</f>
        <v/>
      </c>
      <c r="F91" s="17" t="str">
        <f aca="false">IFERROR(INDEX(商品資料!$H:$H,MATCH(A91,商品資料!$D:$D,0)),"")</f>
        <v/>
      </c>
      <c r="G91" s="17" t="str">
        <f aca="false">IF(OR(E91="",F91=""),"",ROUND(E91*F91,0))</f>
        <v/>
      </c>
    </row>
    <row r="92" customFormat="false" ht="15" hidden="false" customHeight="true" outlineLevel="0" collapsed="false">
      <c r="A92" s="13"/>
      <c r="B92" s="11"/>
      <c r="C92" s="13"/>
      <c r="D92" s="17" t="str">
        <f aca="false">IF(A92="","",SUMIF($A$2:$A$301,A92,$C$2:$C$301))</f>
        <v/>
      </c>
      <c r="E92" s="18" t="str">
        <f aca="false">IF(OR(A92="",D92="",D92=0),"",C92/D92)</f>
        <v/>
      </c>
      <c r="F92" s="17" t="str">
        <f aca="false">IFERROR(INDEX(商品資料!$H:$H,MATCH(A92,商品資料!$D:$D,0)),"")</f>
        <v/>
      </c>
      <c r="G92" s="17" t="str">
        <f aca="false">IF(OR(E92="",F92=""),"",ROUND(E92*F92,0))</f>
        <v/>
      </c>
    </row>
    <row r="93" customFormat="false" ht="15" hidden="false" customHeight="true" outlineLevel="0" collapsed="false">
      <c r="A93" s="13"/>
      <c r="B93" s="11"/>
      <c r="C93" s="13"/>
      <c r="D93" s="17" t="str">
        <f aca="false">IF(A93="","",SUMIF($A$2:$A$301,A93,$C$2:$C$301))</f>
        <v/>
      </c>
      <c r="E93" s="18" t="str">
        <f aca="false">IF(OR(A93="",D93="",D93=0),"",C93/D93)</f>
        <v/>
      </c>
      <c r="F93" s="17" t="str">
        <f aca="false">IFERROR(INDEX(商品資料!$H:$H,MATCH(A93,商品資料!$D:$D,0)),"")</f>
        <v/>
      </c>
      <c r="G93" s="17" t="str">
        <f aca="false">IF(OR(E93="",F93=""),"",ROUND(E93*F93,0))</f>
        <v/>
      </c>
    </row>
    <row r="94" customFormat="false" ht="15" hidden="false" customHeight="true" outlineLevel="0" collapsed="false">
      <c r="A94" s="13"/>
      <c r="B94" s="11"/>
      <c r="C94" s="13"/>
      <c r="D94" s="17" t="str">
        <f aca="false">IF(A94="","",SUMIF($A$2:$A$301,A94,$C$2:$C$301))</f>
        <v/>
      </c>
      <c r="E94" s="18" t="str">
        <f aca="false">IF(OR(A94="",D94="",D94=0),"",C94/D94)</f>
        <v/>
      </c>
      <c r="F94" s="17" t="str">
        <f aca="false">IFERROR(INDEX(商品資料!$H:$H,MATCH(A94,商品資料!$D:$D,0)),"")</f>
        <v/>
      </c>
      <c r="G94" s="17" t="str">
        <f aca="false">IF(OR(E94="",F94=""),"",ROUND(E94*F94,0))</f>
        <v/>
      </c>
    </row>
    <row r="95" customFormat="false" ht="15" hidden="false" customHeight="true" outlineLevel="0" collapsed="false">
      <c r="A95" s="13"/>
      <c r="B95" s="11"/>
      <c r="C95" s="13"/>
      <c r="D95" s="17" t="str">
        <f aca="false">IF(A95="","",SUMIF($A$2:$A$301,A95,$C$2:$C$301))</f>
        <v/>
      </c>
      <c r="E95" s="18" t="str">
        <f aca="false">IF(OR(A95="",D95="",D95=0),"",C95/D95)</f>
        <v/>
      </c>
      <c r="F95" s="17" t="str">
        <f aca="false">IFERROR(INDEX(商品資料!$H:$H,MATCH(A95,商品資料!$D:$D,0)),"")</f>
        <v/>
      </c>
      <c r="G95" s="17" t="str">
        <f aca="false">IF(OR(E95="",F95=""),"",ROUND(E95*F95,0))</f>
        <v/>
      </c>
    </row>
    <row r="96" customFormat="false" ht="15" hidden="false" customHeight="true" outlineLevel="0" collapsed="false">
      <c r="A96" s="13"/>
      <c r="B96" s="11"/>
      <c r="C96" s="13"/>
      <c r="D96" s="17" t="str">
        <f aca="false">IF(A96="","",SUMIF($A$2:$A$301,A96,$C$2:$C$301))</f>
        <v/>
      </c>
      <c r="E96" s="18" t="str">
        <f aca="false">IF(OR(A96="",D96="",D96=0),"",C96/D96)</f>
        <v/>
      </c>
      <c r="F96" s="17" t="str">
        <f aca="false">IFERROR(INDEX(商品資料!$H:$H,MATCH(A96,商品資料!$D:$D,0)),"")</f>
        <v/>
      </c>
      <c r="G96" s="17" t="str">
        <f aca="false">IF(OR(E96="",F96=""),"",ROUND(E96*F96,0))</f>
        <v/>
      </c>
    </row>
    <row r="97" customFormat="false" ht="15" hidden="false" customHeight="true" outlineLevel="0" collapsed="false">
      <c r="A97" s="13"/>
      <c r="B97" s="11"/>
      <c r="C97" s="13"/>
      <c r="D97" s="17" t="str">
        <f aca="false">IF(A97="","",SUMIF($A$2:$A$301,A97,$C$2:$C$301))</f>
        <v/>
      </c>
      <c r="E97" s="18" t="str">
        <f aca="false">IF(OR(A97="",D97="",D97=0),"",C97/D97)</f>
        <v/>
      </c>
      <c r="F97" s="17" t="str">
        <f aca="false">IFERROR(INDEX(商品資料!$H:$H,MATCH(A97,商品資料!$D:$D,0)),"")</f>
        <v/>
      </c>
      <c r="G97" s="17" t="str">
        <f aca="false">IF(OR(E97="",F97=""),"",ROUND(E97*F97,0))</f>
        <v/>
      </c>
    </row>
    <row r="98" customFormat="false" ht="15" hidden="false" customHeight="true" outlineLevel="0" collapsed="false">
      <c r="A98" s="13"/>
      <c r="B98" s="11"/>
      <c r="C98" s="13"/>
      <c r="D98" s="17" t="str">
        <f aca="false">IF(A98="","",SUMIF($A$2:$A$301,A98,$C$2:$C$301))</f>
        <v/>
      </c>
      <c r="E98" s="18" t="str">
        <f aca="false">IF(OR(A98="",D98="",D98=0),"",C98/D98)</f>
        <v/>
      </c>
      <c r="F98" s="17" t="str">
        <f aca="false">IFERROR(INDEX(商品資料!$H:$H,MATCH(A98,商品資料!$D:$D,0)),"")</f>
        <v/>
      </c>
      <c r="G98" s="17" t="str">
        <f aca="false">IF(OR(E98="",F98=""),"",ROUND(E98*F98,0))</f>
        <v/>
      </c>
    </row>
    <row r="99" customFormat="false" ht="15" hidden="false" customHeight="true" outlineLevel="0" collapsed="false">
      <c r="A99" s="13"/>
      <c r="B99" s="11"/>
      <c r="C99" s="13"/>
      <c r="D99" s="17" t="str">
        <f aca="false">IF(A99="","",SUMIF($A$2:$A$301,A99,$C$2:$C$301))</f>
        <v/>
      </c>
      <c r="E99" s="18" t="str">
        <f aca="false">IF(OR(A99="",D99="",D99=0),"",C99/D99)</f>
        <v/>
      </c>
      <c r="F99" s="17" t="str">
        <f aca="false">IFERROR(INDEX(商品資料!$H:$H,MATCH(A99,商品資料!$D:$D,0)),"")</f>
        <v/>
      </c>
      <c r="G99" s="17" t="str">
        <f aca="false">IF(OR(E99="",F99=""),"",ROUND(E99*F99,0))</f>
        <v/>
      </c>
    </row>
    <row r="100" customFormat="false" ht="15" hidden="false" customHeight="true" outlineLevel="0" collapsed="false">
      <c r="A100" s="13"/>
      <c r="B100" s="11"/>
      <c r="C100" s="13"/>
      <c r="D100" s="17" t="str">
        <f aca="false">IF(A100="","",SUMIF($A$2:$A$301,A100,$C$2:$C$301))</f>
        <v/>
      </c>
      <c r="E100" s="18" t="str">
        <f aca="false">IF(OR(A100="",D100="",D100=0),"",C100/D100)</f>
        <v/>
      </c>
      <c r="F100" s="17" t="str">
        <f aca="false">IFERROR(INDEX(商品資料!$H:$H,MATCH(A100,商品資料!$D:$D,0)),"")</f>
        <v/>
      </c>
      <c r="G100" s="17" t="str">
        <f aca="false">IF(OR(E100="",F100=""),"",ROUND(E100*F100,0))</f>
        <v/>
      </c>
    </row>
    <row r="101" customFormat="false" ht="15" hidden="false" customHeight="true" outlineLevel="0" collapsed="false">
      <c r="A101" s="13"/>
      <c r="B101" s="11"/>
      <c r="C101" s="13"/>
      <c r="D101" s="17" t="str">
        <f aca="false">IF(A101="","",SUMIF($A$2:$A$301,A101,$C$2:$C$301))</f>
        <v/>
      </c>
      <c r="E101" s="18" t="str">
        <f aca="false">IF(OR(A101="",D101="",D101=0),"",C101/D101)</f>
        <v/>
      </c>
      <c r="F101" s="17" t="str">
        <f aca="false">IFERROR(INDEX(商品資料!$H:$H,MATCH(A101,商品資料!$D:$D,0)),"")</f>
        <v/>
      </c>
      <c r="G101" s="17" t="str">
        <f aca="false">IF(OR(E101="",F101=""),"",ROUND(E101*F101,0))</f>
        <v/>
      </c>
    </row>
    <row r="102" customFormat="false" ht="15" hidden="false" customHeight="true" outlineLevel="0" collapsed="false">
      <c r="A102" s="13"/>
      <c r="B102" s="11"/>
      <c r="C102" s="13"/>
      <c r="D102" s="17" t="str">
        <f aca="false">IF(A102="","",SUMIF($A$2:$A$301,A102,$C$2:$C$301))</f>
        <v/>
      </c>
      <c r="E102" s="18" t="str">
        <f aca="false">IF(OR(A102="",D102="",D102=0),"",C102/D102)</f>
        <v/>
      </c>
      <c r="F102" s="17" t="str">
        <f aca="false">IFERROR(INDEX(商品資料!$H:$H,MATCH(A102,商品資料!$D:$D,0)),"")</f>
        <v/>
      </c>
      <c r="G102" s="17" t="str">
        <f aca="false">IF(OR(E102="",F102=""),"",ROUND(E102*F102,0))</f>
        <v/>
      </c>
    </row>
    <row r="103" customFormat="false" ht="15" hidden="false" customHeight="true" outlineLevel="0" collapsed="false">
      <c r="A103" s="13"/>
      <c r="B103" s="11"/>
      <c r="C103" s="13"/>
      <c r="D103" s="17" t="str">
        <f aca="false">IF(A103="","",SUMIF($A$2:$A$301,A103,$C$2:$C$301))</f>
        <v/>
      </c>
      <c r="E103" s="18" t="str">
        <f aca="false">IF(OR(A103="",D103="",D103=0),"",C103/D103)</f>
        <v/>
      </c>
      <c r="F103" s="17" t="str">
        <f aca="false">IFERROR(INDEX(商品資料!$H:$H,MATCH(A103,商品資料!$D:$D,0)),"")</f>
        <v/>
      </c>
      <c r="G103" s="17" t="str">
        <f aca="false">IF(OR(E103="",F103=""),"",ROUND(E103*F103,0))</f>
        <v/>
      </c>
    </row>
    <row r="104" customFormat="false" ht="15" hidden="false" customHeight="true" outlineLevel="0" collapsed="false">
      <c r="A104" s="13"/>
      <c r="B104" s="11"/>
      <c r="C104" s="13"/>
      <c r="D104" s="17" t="str">
        <f aca="false">IF(A104="","",SUMIF($A$2:$A$301,A104,$C$2:$C$301))</f>
        <v/>
      </c>
      <c r="E104" s="18" t="str">
        <f aca="false">IF(OR(A104="",D104="",D104=0),"",C104/D104)</f>
        <v/>
      </c>
      <c r="F104" s="17" t="str">
        <f aca="false">IFERROR(INDEX(商品資料!$H:$H,MATCH(A104,商品資料!$D:$D,0)),"")</f>
        <v/>
      </c>
      <c r="G104" s="17" t="str">
        <f aca="false">IF(OR(E104="",F104=""),"",ROUND(E104*F104,0))</f>
        <v/>
      </c>
    </row>
    <row r="105" customFormat="false" ht="15" hidden="false" customHeight="true" outlineLevel="0" collapsed="false">
      <c r="A105" s="13"/>
      <c r="B105" s="11"/>
      <c r="C105" s="13"/>
      <c r="D105" s="17" t="str">
        <f aca="false">IF(A105="","",SUMIF($A$2:$A$301,A105,$C$2:$C$301))</f>
        <v/>
      </c>
      <c r="E105" s="18" t="str">
        <f aca="false">IF(OR(A105="",D105="",D105=0),"",C105/D105)</f>
        <v/>
      </c>
      <c r="F105" s="17" t="str">
        <f aca="false">IFERROR(INDEX(商品資料!$H:$H,MATCH(A105,商品資料!$D:$D,0)),"")</f>
        <v/>
      </c>
      <c r="G105" s="17" t="str">
        <f aca="false">IF(OR(E105="",F105=""),"",ROUND(E105*F105,0))</f>
        <v/>
      </c>
    </row>
    <row r="106" customFormat="false" ht="15" hidden="false" customHeight="true" outlineLevel="0" collapsed="false">
      <c r="A106" s="13"/>
      <c r="B106" s="11"/>
      <c r="C106" s="13"/>
      <c r="D106" s="17" t="str">
        <f aca="false">IF(A106="","",SUMIF($A$2:$A$301,A106,$C$2:$C$301))</f>
        <v/>
      </c>
      <c r="E106" s="18" t="str">
        <f aca="false">IF(OR(A106="",D106="",D106=0),"",C106/D106)</f>
        <v/>
      </c>
      <c r="F106" s="17" t="str">
        <f aca="false">IFERROR(INDEX(商品資料!$H:$H,MATCH(A106,商品資料!$D:$D,0)),"")</f>
        <v/>
      </c>
      <c r="G106" s="17" t="str">
        <f aca="false">IF(OR(E106="",F106=""),"",ROUND(E106*F106,0))</f>
        <v/>
      </c>
    </row>
    <row r="107" customFormat="false" ht="15" hidden="false" customHeight="true" outlineLevel="0" collapsed="false">
      <c r="A107" s="13"/>
      <c r="B107" s="11"/>
      <c r="C107" s="13"/>
      <c r="D107" s="17" t="str">
        <f aca="false">IF(A107="","",SUMIF($A$2:$A$301,A107,$C$2:$C$301))</f>
        <v/>
      </c>
      <c r="E107" s="18" t="str">
        <f aca="false">IF(OR(A107="",D107="",D107=0),"",C107/D107)</f>
        <v/>
      </c>
      <c r="F107" s="17" t="str">
        <f aca="false">IFERROR(INDEX(商品資料!$H:$H,MATCH(A107,商品資料!$D:$D,0)),"")</f>
        <v/>
      </c>
      <c r="G107" s="17" t="str">
        <f aca="false">IF(OR(E107="",F107=""),"",ROUND(E107*F107,0))</f>
        <v/>
      </c>
    </row>
    <row r="108" customFormat="false" ht="15" hidden="false" customHeight="true" outlineLevel="0" collapsed="false">
      <c r="A108" s="13"/>
      <c r="B108" s="11"/>
      <c r="C108" s="13"/>
      <c r="D108" s="17" t="str">
        <f aca="false">IF(A108="","",SUMIF($A$2:$A$301,A108,$C$2:$C$301))</f>
        <v/>
      </c>
      <c r="E108" s="18" t="str">
        <f aca="false">IF(OR(A108="",D108="",D108=0),"",C108/D108)</f>
        <v/>
      </c>
      <c r="F108" s="17" t="str">
        <f aca="false">IFERROR(INDEX(商品資料!$H:$H,MATCH(A108,商品資料!$D:$D,0)),"")</f>
        <v/>
      </c>
      <c r="G108" s="17" t="str">
        <f aca="false">IF(OR(E108="",F108=""),"",ROUND(E108*F108,0))</f>
        <v/>
      </c>
    </row>
    <row r="109" customFormat="false" ht="15" hidden="false" customHeight="true" outlineLevel="0" collapsed="false">
      <c r="A109" s="13"/>
      <c r="B109" s="11"/>
      <c r="C109" s="13"/>
      <c r="D109" s="17" t="str">
        <f aca="false">IF(A109="","",SUMIF($A$2:$A$301,A109,$C$2:$C$301))</f>
        <v/>
      </c>
      <c r="E109" s="18" t="str">
        <f aca="false">IF(OR(A109="",D109="",D109=0),"",C109/D109)</f>
        <v/>
      </c>
      <c r="F109" s="17" t="str">
        <f aca="false">IFERROR(INDEX(商品資料!$H:$H,MATCH(A109,商品資料!$D:$D,0)),"")</f>
        <v/>
      </c>
      <c r="G109" s="17" t="str">
        <f aca="false">IF(OR(E109="",F109=""),"",ROUND(E109*F109,0))</f>
        <v/>
      </c>
    </row>
    <row r="110" customFormat="false" ht="15" hidden="false" customHeight="true" outlineLevel="0" collapsed="false">
      <c r="A110" s="13"/>
      <c r="B110" s="11"/>
      <c r="C110" s="13"/>
      <c r="D110" s="17" t="str">
        <f aca="false">IF(A110="","",SUMIF($A$2:$A$301,A110,$C$2:$C$301))</f>
        <v/>
      </c>
      <c r="E110" s="18" t="str">
        <f aca="false">IF(OR(A110="",D110="",D110=0),"",C110/D110)</f>
        <v/>
      </c>
      <c r="F110" s="17" t="str">
        <f aca="false">IFERROR(INDEX(商品資料!$H:$H,MATCH(A110,商品資料!$D:$D,0)),"")</f>
        <v/>
      </c>
      <c r="G110" s="17" t="str">
        <f aca="false">IF(OR(E110="",F110=""),"",ROUND(E110*F110,0))</f>
        <v/>
      </c>
    </row>
    <row r="111" customFormat="false" ht="15" hidden="false" customHeight="true" outlineLevel="0" collapsed="false">
      <c r="A111" s="13"/>
      <c r="B111" s="11"/>
      <c r="C111" s="13"/>
      <c r="D111" s="17" t="str">
        <f aca="false">IF(A111="","",SUMIF($A$2:$A$301,A111,$C$2:$C$301))</f>
        <v/>
      </c>
      <c r="E111" s="18" t="str">
        <f aca="false">IF(OR(A111="",D111="",D111=0),"",C111/D111)</f>
        <v/>
      </c>
      <c r="F111" s="17" t="str">
        <f aca="false">IFERROR(INDEX(商品資料!$H:$H,MATCH(A111,商品資料!$D:$D,0)),"")</f>
        <v/>
      </c>
      <c r="G111" s="17" t="str">
        <f aca="false">IF(OR(E111="",F111=""),"",ROUND(E111*F111,0))</f>
        <v/>
      </c>
    </row>
    <row r="112" customFormat="false" ht="15" hidden="false" customHeight="true" outlineLevel="0" collapsed="false">
      <c r="A112" s="13"/>
      <c r="B112" s="11"/>
      <c r="C112" s="13"/>
      <c r="D112" s="17" t="str">
        <f aca="false">IF(A112="","",SUMIF($A$2:$A$301,A112,$C$2:$C$301))</f>
        <v/>
      </c>
      <c r="E112" s="18" t="str">
        <f aca="false">IF(OR(A112="",D112="",D112=0),"",C112/D112)</f>
        <v/>
      </c>
      <c r="F112" s="17" t="str">
        <f aca="false">IFERROR(INDEX(商品資料!$H:$H,MATCH(A112,商品資料!$D:$D,0)),"")</f>
        <v/>
      </c>
      <c r="G112" s="17" t="str">
        <f aca="false">IF(OR(E112="",F112=""),"",ROUND(E112*F112,0))</f>
        <v/>
      </c>
    </row>
    <row r="113" customFormat="false" ht="15" hidden="false" customHeight="true" outlineLevel="0" collapsed="false">
      <c r="A113" s="13"/>
      <c r="B113" s="11"/>
      <c r="C113" s="13"/>
      <c r="D113" s="17" t="str">
        <f aca="false">IF(A113="","",SUMIF($A$2:$A$301,A113,$C$2:$C$301))</f>
        <v/>
      </c>
      <c r="E113" s="18" t="str">
        <f aca="false">IF(OR(A113="",D113="",D113=0),"",C113/D113)</f>
        <v/>
      </c>
      <c r="F113" s="17" t="str">
        <f aca="false">IFERROR(INDEX(商品資料!$H:$H,MATCH(A113,商品資料!$D:$D,0)),"")</f>
        <v/>
      </c>
      <c r="G113" s="17" t="str">
        <f aca="false">IF(OR(E113="",F113=""),"",ROUND(E113*F113,0))</f>
        <v/>
      </c>
    </row>
    <row r="114" customFormat="false" ht="15" hidden="false" customHeight="true" outlineLevel="0" collapsed="false">
      <c r="A114" s="13"/>
      <c r="B114" s="11"/>
      <c r="C114" s="13"/>
      <c r="D114" s="17" t="str">
        <f aca="false">IF(A114="","",SUMIF($A$2:$A$301,A114,$C$2:$C$301))</f>
        <v/>
      </c>
      <c r="E114" s="18" t="str">
        <f aca="false">IF(OR(A114="",D114="",D114=0),"",C114/D114)</f>
        <v/>
      </c>
      <c r="F114" s="17" t="str">
        <f aca="false">IFERROR(INDEX(商品資料!$H:$H,MATCH(A114,商品資料!$D:$D,0)),"")</f>
        <v/>
      </c>
      <c r="G114" s="17" t="str">
        <f aca="false">IF(OR(E114="",F114=""),"",ROUND(E114*F114,0))</f>
        <v/>
      </c>
    </row>
    <row r="115" customFormat="false" ht="15" hidden="false" customHeight="true" outlineLevel="0" collapsed="false">
      <c r="A115" s="13"/>
      <c r="B115" s="11"/>
      <c r="C115" s="13"/>
      <c r="D115" s="17" t="str">
        <f aca="false">IF(A115="","",SUMIF($A$2:$A$301,A115,$C$2:$C$301))</f>
        <v/>
      </c>
      <c r="E115" s="18" t="str">
        <f aca="false">IF(OR(A115="",D115="",D115=0),"",C115/D115)</f>
        <v/>
      </c>
      <c r="F115" s="17" t="str">
        <f aca="false">IFERROR(INDEX(商品資料!$H:$H,MATCH(A115,商品資料!$D:$D,0)),"")</f>
        <v/>
      </c>
      <c r="G115" s="17" t="str">
        <f aca="false">IF(OR(E115="",F115=""),"",ROUND(E115*F115,0))</f>
        <v/>
      </c>
    </row>
    <row r="116" customFormat="false" ht="15" hidden="false" customHeight="true" outlineLevel="0" collapsed="false">
      <c r="A116" s="13"/>
      <c r="B116" s="11"/>
      <c r="C116" s="13"/>
      <c r="D116" s="17" t="str">
        <f aca="false">IF(A116="","",SUMIF($A$2:$A$301,A116,$C$2:$C$301))</f>
        <v/>
      </c>
      <c r="E116" s="18" t="str">
        <f aca="false">IF(OR(A116="",D116="",D116=0),"",C116/D116)</f>
        <v/>
      </c>
      <c r="F116" s="17" t="str">
        <f aca="false">IFERROR(INDEX(商品資料!$H:$H,MATCH(A116,商品資料!$D:$D,0)),"")</f>
        <v/>
      </c>
      <c r="G116" s="17" t="str">
        <f aca="false">IF(OR(E116="",F116=""),"",ROUND(E116*F116,0))</f>
        <v/>
      </c>
    </row>
    <row r="117" customFormat="false" ht="15" hidden="false" customHeight="true" outlineLevel="0" collapsed="false">
      <c r="A117" s="13"/>
      <c r="B117" s="11"/>
      <c r="C117" s="13"/>
      <c r="D117" s="17" t="str">
        <f aca="false">IF(A117="","",SUMIF($A$2:$A$301,A117,$C$2:$C$301))</f>
        <v/>
      </c>
      <c r="E117" s="18" t="str">
        <f aca="false">IF(OR(A117="",D117="",D117=0),"",C117/D117)</f>
        <v/>
      </c>
      <c r="F117" s="17" t="str">
        <f aca="false">IFERROR(INDEX(商品資料!$H:$H,MATCH(A117,商品資料!$D:$D,0)),"")</f>
        <v/>
      </c>
      <c r="G117" s="17" t="str">
        <f aca="false">IF(OR(E117="",F117=""),"",ROUND(E117*F117,0))</f>
        <v/>
      </c>
    </row>
    <row r="118" customFormat="false" ht="15" hidden="false" customHeight="true" outlineLevel="0" collapsed="false">
      <c r="A118" s="13"/>
      <c r="B118" s="11"/>
      <c r="C118" s="13"/>
      <c r="D118" s="17" t="str">
        <f aca="false">IF(A118="","",SUMIF($A$2:$A$301,A118,$C$2:$C$301))</f>
        <v/>
      </c>
      <c r="E118" s="18" t="str">
        <f aca="false">IF(OR(A118="",D118="",D118=0),"",C118/D118)</f>
        <v/>
      </c>
      <c r="F118" s="17" t="str">
        <f aca="false">IFERROR(INDEX(商品資料!$H:$H,MATCH(A118,商品資料!$D:$D,0)),"")</f>
        <v/>
      </c>
      <c r="G118" s="17" t="str">
        <f aca="false">IF(OR(E118="",F118=""),"",ROUND(E118*F118,0))</f>
        <v/>
      </c>
    </row>
    <row r="119" customFormat="false" ht="15" hidden="false" customHeight="true" outlineLevel="0" collapsed="false">
      <c r="A119" s="13"/>
      <c r="B119" s="11"/>
      <c r="C119" s="13"/>
      <c r="D119" s="17" t="str">
        <f aca="false">IF(A119="","",SUMIF($A$2:$A$301,A119,$C$2:$C$301))</f>
        <v/>
      </c>
      <c r="E119" s="18" t="str">
        <f aca="false">IF(OR(A119="",D119="",D119=0),"",C119/D119)</f>
        <v/>
      </c>
      <c r="F119" s="17" t="str">
        <f aca="false">IFERROR(INDEX(商品資料!$H:$H,MATCH(A119,商品資料!$D:$D,0)),"")</f>
        <v/>
      </c>
      <c r="G119" s="17" t="str">
        <f aca="false">IF(OR(E119="",F119=""),"",ROUND(E119*F119,0))</f>
        <v/>
      </c>
    </row>
    <row r="120" customFormat="false" ht="15" hidden="false" customHeight="true" outlineLevel="0" collapsed="false">
      <c r="A120" s="13"/>
      <c r="B120" s="11"/>
      <c r="C120" s="13"/>
      <c r="D120" s="17" t="str">
        <f aca="false">IF(A120="","",SUMIF($A$2:$A$301,A120,$C$2:$C$301))</f>
        <v/>
      </c>
      <c r="E120" s="18" t="str">
        <f aca="false">IF(OR(A120="",D120="",D120=0),"",C120/D120)</f>
        <v/>
      </c>
      <c r="F120" s="17" t="str">
        <f aca="false">IFERROR(INDEX(商品資料!$H:$H,MATCH(A120,商品資料!$D:$D,0)),"")</f>
        <v/>
      </c>
      <c r="G120" s="17" t="str">
        <f aca="false">IF(OR(E120="",F120=""),"",ROUND(E120*F120,0))</f>
        <v/>
      </c>
    </row>
    <row r="121" customFormat="false" ht="15" hidden="false" customHeight="true" outlineLevel="0" collapsed="false">
      <c r="A121" s="13"/>
      <c r="B121" s="11"/>
      <c r="C121" s="13"/>
      <c r="D121" s="17" t="str">
        <f aca="false">IF(A121="","",SUMIF($A$2:$A$301,A121,$C$2:$C$301))</f>
        <v/>
      </c>
      <c r="E121" s="18" t="str">
        <f aca="false">IF(OR(A121="",D121="",D121=0),"",C121/D121)</f>
        <v/>
      </c>
      <c r="F121" s="17" t="str">
        <f aca="false">IFERROR(INDEX(商品資料!$H:$H,MATCH(A121,商品資料!$D:$D,0)),"")</f>
        <v/>
      </c>
      <c r="G121" s="17" t="str">
        <f aca="false">IF(OR(E121="",F121=""),"",ROUND(E121*F121,0))</f>
        <v/>
      </c>
    </row>
    <row r="122" customFormat="false" ht="15" hidden="false" customHeight="true" outlineLevel="0" collapsed="false">
      <c r="A122" s="13"/>
      <c r="B122" s="11"/>
      <c r="C122" s="13"/>
      <c r="D122" s="17" t="str">
        <f aca="false">IF(A122="","",SUMIF($A$2:$A$301,A122,$C$2:$C$301))</f>
        <v/>
      </c>
      <c r="E122" s="18" t="str">
        <f aca="false">IF(OR(A122="",D122="",D122=0),"",C122/D122)</f>
        <v/>
      </c>
      <c r="F122" s="17" t="str">
        <f aca="false">IFERROR(INDEX(商品資料!$H:$H,MATCH(A122,商品資料!$D:$D,0)),"")</f>
        <v/>
      </c>
      <c r="G122" s="17" t="str">
        <f aca="false">IF(OR(E122="",F122=""),"",ROUND(E122*F122,0))</f>
        <v/>
      </c>
    </row>
    <row r="123" customFormat="false" ht="15" hidden="false" customHeight="true" outlineLevel="0" collapsed="false">
      <c r="A123" s="13"/>
      <c r="B123" s="11"/>
      <c r="C123" s="13"/>
      <c r="D123" s="17" t="str">
        <f aca="false">IF(A123="","",SUMIF($A$2:$A$301,A123,$C$2:$C$301))</f>
        <v/>
      </c>
      <c r="E123" s="18" t="str">
        <f aca="false">IF(OR(A123="",D123="",D123=0),"",C123/D123)</f>
        <v/>
      </c>
      <c r="F123" s="17" t="str">
        <f aca="false">IFERROR(INDEX(商品資料!$H:$H,MATCH(A123,商品資料!$D:$D,0)),"")</f>
        <v/>
      </c>
      <c r="G123" s="17" t="str">
        <f aca="false">IF(OR(E123="",F123=""),"",ROUND(E123*F123,0))</f>
        <v/>
      </c>
    </row>
    <row r="124" customFormat="false" ht="15" hidden="false" customHeight="true" outlineLevel="0" collapsed="false">
      <c r="A124" s="13"/>
      <c r="B124" s="11"/>
      <c r="C124" s="13"/>
      <c r="D124" s="17" t="str">
        <f aca="false">IF(A124="","",SUMIF($A$2:$A$301,A124,$C$2:$C$301))</f>
        <v/>
      </c>
      <c r="E124" s="18" t="str">
        <f aca="false">IF(OR(A124="",D124="",D124=0),"",C124/D124)</f>
        <v/>
      </c>
      <c r="F124" s="17" t="str">
        <f aca="false">IFERROR(INDEX(商品資料!$H:$H,MATCH(A124,商品資料!$D:$D,0)),"")</f>
        <v/>
      </c>
      <c r="G124" s="17" t="str">
        <f aca="false">IF(OR(E124="",F124=""),"",ROUND(E124*F124,0))</f>
        <v/>
      </c>
    </row>
    <row r="125" customFormat="false" ht="15" hidden="false" customHeight="true" outlineLevel="0" collapsed="false">
      <c r="A125" s="13"/>
      <c r="B125" s="11"/>
      <c r="C125" s="13"/>
      <c r="D125" s="17" t="str">
        <f aca="false">IF(A125="","",SUMIF($A$2:$A$301,A125,$C$2:$C$301))</f>
        <v/>
      </c>
      <c r="E125" s="18" t="str">
        <f aca="false">IF(OR(A125="",D125="",D125=0),"",C125/D125)</f>
        <v/>
      </c>
      <c r="F125" s="17" t="str">
        <f aca="false">IFERROR(INDEX(商品資料!$H:$H,MATCH(A125,商品資料!$D:$D,0)),"")</f>
        <v/>
      </c>
      <c r="G125" s="17" t="str">
        <f aca="false">IF(OR(E125="",F125=""),"",ROUND(E125*F125,0))</f>
        <v/>
      </c>
    </row>
    <row r="126" customFormat="false" ht="15" hidden="false" customHeight="true" outlineLevel="0" collapsed="false">
      <c r="A126" s="13"/>
      <c r="B126" s="11"/>
      <c r="C126" s="13"/>
      <c r="D126" s="17" t="str">
        <f aca="false">IF(A126="","",SUMIF($A$2:$A$301,A126,$C$2:$C$301))</f>
        <v/>
      </c>
      <c r="E126" s="18" t="str">
        <f aca="false">IF(OR(A126="",D126="",D126=0),"",C126/D126)</f>
        <v/>
      </c>
      <c r="F126" s="17" t="str">
        <f aca="false">IFERROR(INDEX(商品資料!$H:$H,MATCH(A126,商品資料!$D:$D,0)),"")</f>
        <v/>
      </c>
      <c r="G126" s="17" t="str">
        <f aca="false">IF(OR(E126="",F126=""),"",ROUND(E126*F126,0))</f>
        <v/>
      </c>
    </row>
    <row r="127" customFormat="false" ht="15" hidden="false" customHeight="true" outlineLevel="0" collapsed="false">
      <c r="A127" s="13"/>
      <c r="B127" s="11"/>
      <c r="C127" s="13"/>
      <c r="D127" s="17" t="str">
        <f aca="false">IF(A127="","",SUMIF($A$2:$A$301,A127,$C$2:$C$301))</f>
        <v/>
      </c>
      <c r="E127" s="18" t="str">
        <f aca="false">IF(OR(A127="",D127="",D127=0),"",C127/D127)</f>
        <v/>
      </c>
      <c r="F127" s="17" t="str">
        <f aca="false">IFERROR(INDEX(商品資料!$H:$H,MATCH(A127,商品資料!$D:$D,0)),"")</f>
        <v/>
      </c>
      <c r="G127" s="17" t="str">
        <f aca="false">IF(OR(E127="",F127=""),"",ROUND(E127*F127,0))</f>
        <v/>
      </c>
    </row>
    <row r="128" customFormat="false" ht="15" hidden="false" customHeight="true" outlineLevel="0" collapsed="false">
      <c r="A128" s="13"/>
      <c r="B128" s="11"/>
      <c r="C128" s="13"/>
      <c r="D128" s="17" t="str">
        <f aca="false">IF(A128="","",SUMIF($A$2:$A$301,A128,$C$2:$C$301))</f>
        <v/>
      </c>
      <c r="E128" s="18" t="str">
        <f aca="false">IF(OR(A128="",D128="",D128=0),"",C128/D128)</f>
        <v/>
      </c>
      <c r="F128" s="17" t="str">
        <f aca="false">IFERROR(INDEX(商品資料!$H:$H,MATCH(A128,商品資料!$D:$D,0)),"")</f>
        <v/>
      </c>
      <c r="G128" s="17" t="str">
        <f aca="false">IF(OR(E128="",F128=""),"",ROUND(E128*F128,0))</f>
        <v/>
      </c>
    </row>
    <row r="129" customFormat="false" ht="15" hidden="false" customHeight="true" outlineLevel="0" collapsed="false">
      <c r="A129" s="13"/>
      <c r="B129" s="11"/>
      <c r="C129" s="13"/>
      <c r="D129" s="17" t="str">
        <f aca="false">IF(A129="","",SUMIF($A$2:$A$301,A129,$C$2:$C$301))</f>
        <v/>
      </c>
      <c r="E129" s="18" t="str">
        <f aca="false">IF(OR(A129="",D129="",D129=0),"",C129/D129)</f>
        <v/>
      </c>
      <c r="F129" s="17" t="str">
        <f aca="false">IFERROR(INDEX(商品資料!$H:$H,MATCH(A129,商品資料!$D:$D,0)),"")</f>
        <v/>
      </c>
      <c r="G129" s="17" t="str">
        <f aca="false">IF(OR(E129="",F129=""),"",ROUND(E129*F129,0))</f>
        <v/>
      </c>
    </row>
    <row r="130" customFormat="false" ht="15" hidden="false" customHeight="true" outlineLevel="0" collapsed="false">
      <c r="A130" s="13"/>
      <c r="B130" s="11"/>
      <c r="C130" s="13"/>
      <c r="D130" s="17" t="str">
        <f aca="false">IF(A130="","",SUMIF($A$2:$A$301,A130,$C$2:$C$301))</f>
        <v/>
      </c>
      <c r="E130" s="18" t="str">
        <f aca="false">IF(OR(A130="",D130="",D130=0),"",C130/D130)</f>
        <v/>
      </c>
      <c r="F130" s="17" t="str">
        <f aca="false">IFERROR(INDEX(商品資料!$H:$H,MATCH(A130,商品資料!$D:$D,0)),"")</f>
        <v/>
      </c>
      <c r="G130" s="17" t="str">
        <f aca="false">IF(OR(E130="",F130=""),"",ROUND(E130*F130,0))</f>
        <v/>
      </c>
    </row>
    <row r="131" customFormat="false" ht="15" hidden="false" customHeight="true" outlineLevel="0" collapsed="false">
      <c r="A131" s="13"/>
      <c r="B131" s="11"/>
      <c r="C131" s="13"/>
      <c r="D131" s="17" t="str">
        <f aca="false">IF(A131="","",SUMIF($A$2:$A$301,A131,$C$2:$C$301))</f>
        <v/>
      </c>
      <c r="E131" s="18" t="str">
        <f aca="false">IF(OR(A131="",D131="",D131=0),"",C131/D131)</f>
        <v/>
      </c>
      <c r="F131" s="17" t="str">
        <f aca="false">IFERROR(INDEX(商品資料!$H:$H,MATCH(A131,商品資料!$D:$D,0)),"")</f>
        <v/>
      </c>
      <c r="G131" s="17" t="str">
        <f aca="false">IF(OR(E131="",F131=""),"",ROUND(E131*F131,0))</f>
        <v/>
      </c>
    </row>
    <row r="132" customFormat="false" ht="15" hidden="false" customHeight="true" outlineLevel="0" collapsed="false">
      <c r="A132" s="13"/>
      <c r="B132" s="11"/>
      <c r="C132" s="13"/>
      <c r="D132" s="17" t="str">
        <f aca="false">IF(A132="","",SUMIF($A$2:$A$301,A132,$C$2:$C$301))</f>
        <v/>
      </c>
      <c r="E132" s="18" t="str">
        <f aca="false">IF(OR(A132="",D132="",D132=0),"",C132/D132)</f>
        <v/>
      </c>
      <c r="F132" s="17" t="str">
        <f aca="false">IFERROR(INDEX(商品資料!$H:$H,MATCH(A132,商品資料!$D:$D,0)),"")</f>
        <v/>
      </c>
      <c r="G132" s="17" t="str">
        <f aca="false">IF(OR(E132="",F132=""),"",ROUND(E132*F132,0))</f>
        <v/>
      </c>
    </row>
    <row r="133" customFormat="false" ht="15" hidden="false" customHeight="true" outlineLevel="0" collapsed="false">
      <c r="A133" s="13"/>
      <c r="B133" s="11"/>
      <c r="C133" s="13"/>
      <c r="D133" s="17" t="str">
        <f aca="false">IF(A133="","",SUMIF($A$2:$A$301,A133,$C$2:$C$301))</f>
        <v/>
      </c>
      <c r="E133" s="18" t="str">
        <f aca="false">IF(OR(A133="",D133="",D133=0),"",C133/D133)</f>
        <v/>
      </c>
      <c r="F133" s="17" t="str">
        <f aca="false">IFERROR(INDEX(商品資料!$H:$H,MATCH(A133,商品資料!$D:$D,0)),"")</f>
        <v/>
      </c>
      <c r="G133" s="17" t="str">
        <f aca="false">IF(OR(E133="",F133=""),"",ROUND(E133*F133,0))</f>
        <v/>
      </c>
    </row>
    <row r="134" customFormat="false" ht="15" hidden="false" customHeight="true" outlineLevel="0" collapsed="false">
      <c r="A134" s="13"/>
      <c r="B134" s="11"/>
      <c r="C134" s="13"/>
      <c r="D134" s="17" t="str">
        <f aca="false">IF(A134="","",SUMIF($A$2:$A$301,A134,$C$2:$C$301))</f>
        <v/>
      </c>
      <c r="E134" s="18" t="str">
        <f aca="false">IF(OR(A134="",D134="",D134=0),"",C134/D134)</f>
        <v/>
      </c>
      <c r="F134" s="17" t="str">
        <f aca="false">IFERROR(INDEX(商品資料!$H:$H,MATCH(A134,商品資料!$D:$D,0)),"")</f>
        <v/>
      </c>
      <c r="G134" s="17" t="str">
        <f aca="false">IF(OR(E134="",F134=""),"",ROUND(E134*F134,0))</f>
        <v/>
      </c>
    </row>
    <row r="135" customFormat="false" ht="15" hidden="false" customHeight="true" outlineLevel="0" collapsed="false">
      <c r="A135" s="13"/>
      <c r="B135" s="11"/>
      <c r="C135" s="13"/>
      <c r="D135" s="17" t="str">
        <f aca="false">IF(A135="","",SUMIF($A$2:$A$301,A135,$C$2:$C$301))</f>
        <v/>
      </c>
      <c r="E135" s="18" t="str">
        <f aca="false">IF(OR(A135="",D135="",D135=0),"",C135/D135)</f>
        <v/>
      </c>
      <c r="F135" s="17" t="str">
        <f aca="false">IFERROR(INDEX(商品資料!$H:$H,MATCH(A135,商品資料!$D:$D,0)),"")</f>
        <v/>
      </c>
      <c r="G135" s="17" t="str">
        <f aca="false">IF(OR(E135="",F135=""),"",ROUND(E135*F135,0))</f>
        <v/>
      </c>
    </row>
    <row r="136" customFormat="false" ht="15" hidden="false" customHeight="true" outlineLevel="0" collapsed="false">
      <c r="A136" s="13"/>
      <c r="B136" s="11"/>
      <c r="C136" s="13"/>
      <c r="D136" s="17" t="str">
        <f aca="false">IF(A136="","",SUMIF($A$2:$A$301,A136,$C$2:$C$301))</f>
        <v/>
      </c>
      <c r="E136" s="18" t="str">
        <f aca="false">IF(OR(A136="",D136="",D136=0),"",C136/D136)</f>
        <v/>
      </c>
      <c r="F136" s="17" t="str">
        <f aca="false">IFERROR(INDEX(商品資料!$H:$H,MATCH(A136,商品資料!$D:$D,0)),"")</f>
        <v/>
      </c>
      <c r="G136" s="17" t="str">
        <f aca="false">IF(OR(E136="",F136=""),"",ROUND(E136*F136,0))</f>
        <v/>
      </c>
    </row>
    <row r="137" customFormat="false" ht="15" hidden="false" customHeight="true" outlineLevel="0" collapsed="false">
      <c r="A137" s="13"/>
      <c r="B137" s="11"/>
      <c r="C137" s="13"/>
      <c r="D137" s="17" t="str">
        <f aca="false">IF(A137="","",SUMIF($A$2:$A$301,A137,$C$2:$C$301))</f>
        <v/>
      </c>
      <c r="E137" s="18" t="str">
        <f aca="false">IF(OR(A137="",D137="",D137=0),"",C137/D137)</f>
        <v/>
      </c>
      <c r="F137" s="17" t="str">
        <f aca="false">IFERROR(INDEX(商品資料!$H:$H,MATCH(A137,商品資料!$D:$D,0)),"")</f>
        <v/>
      </c>
      <c r="G137" s="17" t="str">
        <f aca="false">IF(OR(E137="",F137=""),"",ROUND(E137*F137,0))</f>
        <v/>
      </c>
    </row>
    <row r="138" customFormat="false" ht="15" hidden="false" customHeight="true" outlineLevel="0" collapsed="false">
      <c r="A138" s="13"/>
      <c r="B138" s="11"/>
      <c r="C138" s="13"/>
      <c r="D138" s="17" t="str">
        <f aca="false">IF(A138="","",SUMIF($A$2:$A$301,A138,$C$2:$C$301))</f>
        <v/>
      </c>
      <c r="E138" s="18" t="str">
        <f aca="false">IF(OR(A138="",D138="",D138=0),"",C138/D138)</f>
        <v/>
      </c>
      <c r="F138" s="17" t="str">
        <f aca="false">IFERROR(INDEX(商品資料!$H:$H,MATCH(A138,商品資料!$D:$D,0)),"")</f>
        <v/>
      </c>
      <c r="G138" s="17" t="str">
        <f aca="false">IF(OR(E138="",F138=""),"",ROUND(E138*F138,0))</f>
        <v/>
      </c>
    </row>
    <row r="139" customFormat="false" ht="15" hidden="false" customHeight="true" outlineLevel="0" collapsed="false">
      <c r="A139" s="13"/>
      <c r="B139" s="11"/>
      <c r="C139" s="13"/>
      <c r="D139" s="17" t="str">
        <f aca="false">IF(A139="","",SUMIF($A$2:$A$301,A139,$C$2:$C$301))</f>
        <v/>
      </c>
      <c r="E139" s="18" t="str">
        <f aca="false">IF(OR(A139="",D139="",D139=0),"",C139/D139)</f>
        <v/>
      </c>
      <c r="F139" s="17" t="str">
        <f aca="false">IFERROR(INDEX(商品資料!$H:$H,MATCH(A139,商品資料!$D:$D,0)),"")</f>
        <v/>
      </c>
      <c r="G139" s="17" t="str">
        <f aca="false">IF(OR(E139="",F139=""),"",ROUND(E139*F139,0))</f>
        <v/>
      </c>
    </row>
    <row r="140" customFormat="false" ht="15" hidden="false" customHeight="true" outlineLevel="0" collapsed="false">
      <c r="A140" s="13"/>
      <c r="B140" s="11"/>
      <c r="C140" s="13"/>
      <c r="D140" s="17" t="str">
        <f aca="false">IF(A140="","",SUMIF($A$2:$A$301,A140,$C$2:$C$301))</f>
        <v/>
      </c>
      <c r="E140" s="18" t="str">
        <f aca="false">IF(OR(A140="",D140="",D140=0),"",C140/D140)</f>
        <v/>
      </c>
      <c r="F140" s="17" t="str">
        <f aca="false">IFERROR(INDEX(商品資料!$H:$H,MATCH(A140,商品資料!$D:$D,0)),"")</f>
        <v/>
      </c>
      <c r="G140" s="17" t="str">
        <f aca="false">IF(OR(E140="",F140=""),"",ROUND(E140*F140,0))</f>
        <v/>
      </c>
    </row>
    <row r="141" customFormat="false" ht="15" hidden="false" customHeight="true" outlineLevel="0" collapsed="false">
      <c r="A141" s="13"/>
      <c r="B141" s="11"/>
      <c r="C141" s="13"/>
      <c r="D141" s="17" t="str">
        <f aca="false">IF(A141="","",SUMIF($A$2:$A$301,A141,$C$2:$C$301))</f>
        <v/>
      </c>
      <c r="E141" s="18" t="str">
        <f aca="false">IF(OR(A141="",D141="",D141=0),"",C141/D141)</f>
        <v/>
      </c>
      <c r="F141" s="17" t="str">
        <f aca="false">IFERROR(INDEX(商品資料!$H:$H,MATCH(A141,商品資料!$D:$D,0)),"")</f>
        <v/>
      </c>
      <c r="G141" s="17" t="str">
        <f aca="false">IF(OR(E141="",F141=""),"",ROUND(E141*F141,0))</f>
        <v/>
      </c>
    </row>
    <row r="142" customFormat="false" ht="15" hidden="false" customHeight="true" outlineLevel="0" collapsed="false">
      <c r="A142" s="13"/>
      <c r="B142" s="11"/>
      <c r="C142" s="13"/>
      <c r="D142" s="17" t="str">
        <f aca="false">IF(A142="","",SUMIF($A$2:$A$301,A142,$C$2:$C$301))</f>
        <v/>
      </c>
      <c r="E142" s="18" t="str">
        <f aca="false">IF(OR(A142="",D142="",D142=0),"",C142/D142)</f>
        <v/>
      </c>
      <c r="F142" s="17" t="str">
        <f aca="false">IFERROR(INDEX(商品資料!$H:$H,MATCH(A142,商品資料!$D:$D,0)),"")</f>
        <v/>
      </c>
      <c r="G142" s="17" t="str">
        <f aca="false">IF(OR(E142="",F142=""),"",ROUND(E142*F142,0))</f>
        <v/>
      </c>
    </row>
    <row r="143" customFormat="false" ht="15" hidden="false" customHeight="true" outlineLevel="0" collapsed="false">
      <c r="A143" s="13"/>
      <c r="B143" s="11"/>
      <c r="C143" s="13"/>
      <c r="D143" s="17" t="str">
        <f aca="false">IF(A143="","",SUMIF($A$2:$A$301,A143,$C$2:$C$301))</f>
        <v/>
      </c>
      <c r="E143" s="18" t="str">
        <f aca="false">IF(OR(A143="",D143="",D143=0),"",C143/D143)</f>
        <v/>
      </c>
      <c r="F143" s="17" t="str">
        <f aca="false">IFERROR(INDEX(商品資料!$H:$H,MATCH(A143,商品資料!$D:$D,0)),"")</f>
        <v/>
      </c>
      <c r="G143" s="17" t="str">
        <f aca="false">IF(OR(E143="",F143=""),"",ROUND(E143*F143,0))</f>
        <v/>
      </c>
    </row>
    <row r="144" customFormat="false" ht="15" hidden="false" customHeight="true" outlineLevel="0" collapsed="false">
      <c r="A144" s="13"/>
      <c r="B144" s="11"/>
      <c r="C144" s="13"/>
      <c r="D144" s="17" t="str">
        <f aca="false">IF(A144="","",SUMIF($A$2:$A$301,A144,$C$2:$C$301))</f>
        <v/>
      </c>
      <c r="E144" s="18" t="str">
        <f aca="false">IF(OR(A144="",D144="",D144=0),"",C144/D144)</f>
        <v/>
      </c>
      <c r="F144" s="17" t="str">
        <f aca="false">IFERROR(INDEX(商品資料!$H:$H,MATCH(A144,商品資料!$D:$D,0)),"")</f>
        <v/>
      </c>
      <c r="G144" s="17" t="str">
        <f aca="false">IF(OR(E144="",F144=""),"",ROUND(E144*F144,0))</f>
        <v/>
      </c>
    </row>
    <row r="145" customFormat="false" ht="15" hidden="false" customHeight="true" outlineLevel="0" collapsed="false">
      <c r="A145" s="13"/>
      <c r="B145" s="11"/>
      <c r="C145" s="13"/>
      <c r="D145" s="17" t="str">
        <f aca="false">IF(A145="","",SUMIF($A$2:$A$301,A145,$C$2:$C$301))</f>
        <v/>
      </c>
      <c r="E145" s="18" t="str">
        <f aca="false">IF(OR(A145="",D145="",D145=0),"",C145/D145)</f>
        <v/>
      </c>
      <c r="F145" s="17" t="str">
        <f aca="false">IFERROR(INDEX(商品資料!$H:$H,MATCH(A145,商品資料!$D:$D,0)),"")</f>
        <v/>
      </c>
      <c r="G145" s="17" t="str">
        <f aca="false">IF(OR(E145="",F145=""),"",ROUND(E145*F145,0))</f>
        <v/>
      </c>
    </row>
    <row r="146" customFormat="false" ht="15" hidden="false" customHeight="true" outlineLevel="0" collapsed="false">
      <c r="A146" s="13"/>
      <c r="B146" s="11"/>
      <c r="C146" s="13"/>
      <c r="D146" s="17" t="str">
        <f aca="false">IF(A146="","",SUMIF($A$2:$A$301,A146,$C$2:$C$301))</f>
        <v/>
      </c>
      <c r="E146" s="18" t="str">
        <f aca="false">IF(OR(A146="",D146="",D146=0),"",C146/D146)</f>
        <v/>
      </c>
      <c r="F146" s="17" t="str">
        <f aca="false">IFERROR(INDEX(商品資料!$H:$H,MATCH(A146,商品資料!$D:$D,0)),"")</f>
        <v/>
      </c>
      <c r="G146" s="17" t="str">
        <f aca="false">IF(OR(E146="",F146=""),"",ROUND(E146*F146,0))</f>
        <v/>
      </c>
    </row>
    <row r="147" customFormat="false" ht="15" hidden="false" customHeight="true" outlineLevel="0" collapsed="false">
      <c r="A147" s="13"/>
      <c r="B147" s="11"/>
      <c r="C147" s="13"/>
      <c r="D147" s="17" t="str">
        <f aca="false">IF(A147="","",SUMIF($A$2:$A$301,A147,$C$2:$C$301))</f>
        <v/>
      </c>
      <c r="E147" s="18" t="str">
        <f aca="false">IF(OR(A147="",D147="",D147=0),"",C147/D147)</f>
        <v/>
      </c>
      <c r="F147" s="17" t="str">
        <f aca="false">IFERROR(INDEX(商品資料!$H:$H,MATCH(A147,商品資料!$D:$D,0)),"")</f>
        <v/>
      </c>
      <c r="G147" s="17" t="str">
        <f aca="false">IF(OR(E147="",F147=""),"",ROUND(E147*F147,0))</f>
        <v/>
      </c>
    </row>
    <row r="148" customFormat="false" ht="15" hidden="false" customHeight="true" outlineLevel="0" collapsed="false">
      <c r="A148" s="13"/>
      <c r="B148" s="11"/>
      <c r="C148" s="13"/>
      <c r="D148" s="17" t="str">
        <f aca="false">IF(A148="","",SUMIF($A$2:$A$301,A148,$C$2:$C$301))</f>
        <v/>
      </c>
      <c r="E148" s="18" t="str">
        <f aca="false">IF(OR(A148="",D148="",D148=0),"",C148/D148)</f>
        <v/>
      </c>
      <c r="F148" s="17" t="str">
        <f aca="false">IFERROR(INDEX(商品資料!$H:$H,MATCH(A148,商品資料!$D:$D,0)),"")</f>
        <v/>
      </c>
      <c r="G148" s="17" t="str">
        <f aca="false">IF(OR(E148="",F148=""),"",ROUND(E148*F148,0))</f>
        <v/>
      </c>
    </row>
    <row r="149" customFormat="false" ht="15" hidden="false" customHeight="true" outlineLevel="0" collapsed="false">
      <c r="A149" s="13"/>
      <c r="B149" s="11"/>
      <c r="C149" s="13"/>
      <c r="D149" s="17" t="str">
        <f aca="false">IF(A149="","",SUMIF($A$2:$A$301,A149,$C$2:$C$301))</f>
        <v/>
      </c>
      <c r="E149" s="18" t="str">
        <f aca="false">IF(OR(A149="",D149="",D149=0),"",C149/D149)</f>
        <v/>
      </c>
      <c r="F149" s="17" t="str">
        <f aca="false">IFERROR(INDEX(商品資料!$H:$H,MATCH(A149,商品資料!$D:$D,0)),"")</f>
        <v/>
      </c>
      <c r="G149" s="17" t="str">
        <f aca="false">IF(OR(E149="",F149=""),"",ROUND(E149*F149,0))</f>
        <v/>
      </c>
    </row>
    <row r="150" customFormat="false" ht="15" hidden="false" customHeight="true" outlineLevel="0" collapsed="false">
      <c r="A150" s="13"/>
      <c r="B150" s="11"/>
      <c r="C150" s="13"/>
      <c r="D150" s="17" t="str">
        <f aca="false">IF(A150="","",SUMIF($A$2:$A$301,A150,$C$2:$C$301))</f>
        <v/>
      </c>
      <c r="E150" s="18" t="str">
        <f aca="false">IF(OR(A150="",D150="",D150=0),"",C150/D150)</f>
        <v/>
      </c>
      <c r="F150" s="17" t="str">
        <f aca="false">IFERROR(INDEX(商品資料!$H:$H,MATCH(A150,商品資料!$D:$D,0)),"")</f>
        <v/>
      </c>
      <c r="G150" s="17" t="str">
        <f aca="false">IF(OR(E150="",F150=""),"",ROUND(E150*F150,0))</f>
        <v/>
      </c>
    </row>
    <row r="151" customFormat="false" ht="15" hidden="false" customHeight="true" outlineLevel="0" collapsed="false">
      <c r="A151" s="13"/>
      <c r="B151" s="11"/>
      <c r="C151" s="13"/>
      <c r="D151" s="17" t="str">
        <f aca="false">IF(A151="","",SUMIF($A$2:$A$301,A151,$C$2:$C$301))</f>
        <v/>
      </c>
      <c r="E151" s="18" t="str">
        <f aca="false">IF(OR(A151="",D151="",D151=0),"",C151/D151)</f>
        <v/>
      </c>
      <c r="F151" s="17" t="str">
        <f aca="false">IFERROR(INDEX(商品資料!$H:$H,MATCH(A151,商品資料!$D:$D,0)),"")</f>
        <v/>
      </c>
      <c r="G151" s="17" t="str">
        <f aca="false">IF(OR(E151="",F151=""),"",ROUND(E151*F151,0))</f>
        <v/>
      </c>
    </row>
    <row r="152" customFormat="false" ht="15" hidden="false" customHeight="true" outlineLevel="0" collapsed="false">
      <c r="A152" s="13"/>
      <c r="B152" s="11"/>
      <c r="C152" s="13"/>
      <c r="D152" s="17" t="str">
        <f aca="false">IF(A152="","",SUMIF($A$2:$A$301,A152,$C$2:$C$301))</f>
        <v/>
      </c>
      <c r="E152" s="18" t="str">
        <f aca="false">IF(OR(A152="",D152="",D152=0),"",C152/D152)</f>
        <v/>
      </c>
      <c r="F152" s="17" t="str">
        <f aca="false">IFERROR(INDEX(商品資料!$H:$H,MATCH(A152,商品資料!$D:$D,0)),"")</f>
        <v/>
      </c>
      <c r="G152" s="17" t="str">
        <f aca="false">IF(OR(E152="",F152=""),"",ROUND(E152*F152,0))</f>
        <v/>
      </c>
    </row>
    <row r="153" customFormat="false" ht="15" hidden="false" customHeight="true" outlineLevel="0" collapsed="false">
      <c r="A153" s="13"/>
      <c r="B153" s="11"/>
      <c r="C153" s="13"/>
      <c r="D153" s="17" t="str">
        <f aca="false">IF(A153="","",SUMIF($A$2:$A$301,A153,$C$2:$C$301))</f>
        <v/>
      </c>
      <c r="E153" s="18" t="str">
        <f aca="false">IF(OR(A153="",D153="",D153=0),"",C153/D153)</f>
        <v/>
      </c>
      <c r="F153" s="17" t="str">
        <f aca="false">IFERROR(INDEX(商品資料!$H:$H,MATCH(A153,商品資料!$D:$D,0)),"")</f>
        <v/>
      </c>
      <c r="G153" s="17" t="str">
        <f aca="false">IF(OR(E153="",F153=""),"",ROUND(E153*F153,0))</f>
        <v/>
      </c>
    </row>
    <row r="154" customFormat="false" ht="15" hidden="false" customHeight="true" outlineLevel="0" collapsed="false">
      <c r="A154" s="13"/>
      <c r="B154" s="11"/>
      <c r="C154" s="13"/>
      <c r="D154" s="17" t="str">
        <f aca="false">IF(A154="","",SUMIF($A$2:$A$301,A154,$C$2:$C$301))</f>
        <v/>
      </c>
      <c r="E154" s="18" t="str">
        <f aca="false">IF(OR(A154="",D154="",D154=0),"",C154/D154)</f>
        <v/>
      </c>
      <c r="F154" s="17" t="str">
        <f aca="false">IFERROR(INDEX(商品資料!$H:$H,MATCH(A154,商品資料!$D:$D,0)),"")</f>
        <v/>
      </c>
      <c r="G154" s="17" t="str">
        <f aca="false">IF(OR(E154="",F154=""),"",ROUND(E154*F154,0))</f>
        <v/>
      </c>
    </row>
    <row r="155" customFormat="false" ht="15" hidden="false" customHeight="true" outlineLevel="0" collapsed="false">
      <c r="A155" s="13"/>
      <c r="B155" s="11"/>
      <c r="C155" s="13"/>
      <c r="D155" s="17" t="str">
        <f aca="false">IF(A155="","",SUMIF($A$2:$A$301,A155,$C$2:$C$301))</f>
        <v/>
      </c>
      <c r="E155" s="18" t="str">
        <f aca="false">IF(OR(A155="",D155="",D155=0),"",C155/D155)</f>
        <v/>
      </c>
      <c r="F155" s="17" t="str">
        <f aca="false">IFERROR(INDEX(商品資料!$H:$H,MATCH(A155,商品資料!$D:$D,0)),"")</f>
        <v/>
      </c>
      <c r="G155" s="17" t="str">
        <f aca="false">IF(OR(E155="",F155=""),"",ROUND(E155*F155,0))</f>
        <v/>
      </c>
    </row>
    <row r="156" customFormat="false" ht="15" hidden="false" customHeight="true" outlineLevel="0" collapsed="false">
      <c r="A156" s="13"/>
      <c r="B156" s="11"/>
      <c r="C156" s="13"/>
      <c r="D156" s="17" t="str">
        <f aca="false">IF(A156="","",SUMIF($A$2:$A$301,A156,$C$2:$C$301))</f>
        <v/>
      </c>
      <c r="E156" s="18" t="str">
        <f aca="false">IF(OR(A156="",D156="",D156=0),"",C156/D156)</f>
        <v/>
      </c>
      <c r="F156" s="17" t="str">
        <f aca="false">IFERROR(INDEX(商品資料!$H:$H,MATCH(A156,商品資料!$D:$D,0)),"")</f>
        <v/>
      </c>
      <c r="G156" s="17" t="str">
        <f aca="false">IF(OR(E156="",F156=""),"",ROUND(E156*F156,0))</f>
        <v/>
      </c>
    </row>
    <row r="157" customFormat="false" ht="15" hidden="false" customHeight="true" outlineLevel="0" collapsed="false">
      <c r="A157" s="13"/>
      <c r="B157" s="11"/>
      <c r="C157" s="13"/>
      <c r="D157" s="17" t="str">
        <f aca="false">IF(A157="","",SUMIF($A$2:$A$301,A157,$C$2:$C$301))</f>
        <v/>
      </c>
      <c r="E157" s="18" t="str">
        <f aca="false">IF(OR(A157="",D157="",D157=0),"",C157/D157)</f>
        <v/>
      </c>
      <c r="F157" s="17" t="str">
        <f aca="false">IFERROR(INDEX(商品資料!$H:$H,MATCH(A157,商品資料!$D:$D,0)),"")</f>
        <v/>
      </c>
      <c r="G157" s="17" t="str">
        <f aca="false">IF(OR(E157="",F157=""),"",ROUND(E157*F157,0))</f>
        <v/>
      </c>
    </row>
    <row r="158" customFormat="false" ht="15" hidden="false" customHeight="true" outlineLevel="0" collapsed="false">
      <c r="A158" s="13"/>
      <c r="B158" s="11"/>
      <c r="C158" s="13"/>
      <c r="D158" s="17" t="str">
        <f aca="false">IF(A158="","",SUMIF($A$2:$A$301,A158,$C$2:$C$301))</f>
        <v/>
      </c>
      <c r="E158" s="18" t="str">
        <f aca="false">IF(OR(A158="",D158="",D158=0),"",C158/D158)</f>
        <v/>
      </c>
      <c r="F158" s="17" t="str">
        <f aca="false">IFERROR(INDEX(商品資料!$H:$H,MATCH(A158,商品資料!$D:$D,0)),"")</f>
        <v/>
      </c>
      <c r="G158" s="17" t="str">
        <f aca="false">IF(OR(E158="",F158=""),"",ROUND(E158*F158,0))</f>
        <v/>
      </c>
    </row>
    <row r="159" customFormat="false" ht="15" hidden="false" customHeight="true" outlineLevel="0" collapsed="false">
      <c r="A159" s="13"/>
      <c r="B159" s="11"/>
      <c r="C159" s="13"/>
      <c r="D159" s="17" t="str">
        <f aca="false">IF(A159="","",SUMIF($A$2:$A$301,A159,$C$2:$C$301))</f>
        <v/>
      </c>
      <c r="E159" s="18" t="str">
        <f aca="false">IF(OR(A159="",D159="",D159=0),"",C159/D159)</f>
        <v/>
      </c>
      <c r="F159" s="17" t="str">
        <f aca="false">IFERROR(INDEX(商品資料!$H:$H,MATCH(A159,商品資料!$D:$D,0)),"")</f>
        <v/>
      </c>
      <c r="G159" s="17" t="str">
        <f aca="false">IF(OR(E159="",F159=""),"",ROUND(E159*F159,0))</f>
        <v/>
      </c>
    </row>
    <row r="160" customFormat="false" ht="15" hidden="false" customHeight="true" outlineLevel="0" collapsed="false">
      <c r="A160" s="13"/>
      <c r="B160" s="11"/>
      <c r="C160" s="13"/>
      <c r="D160" s="17" t="str">
        <f aca="false">IF(A160="","",SUMIF($A$2:$A$301,A160,$C$2:$C$301))</f>
        <v/>
      </c>
      <c r="E160" s="18" t="str">
        <f aca="false">IF(OR(A160="",D160="",D160=0),"",C160/D160)</f>
        <v/>
      </c>
      <c r="F160" s="17" t="str">
        <f aca="false">IFERROR(INDEX(商品資料!$H:$H,MATCH(A160,商品資料!$D:$D,0)),"")</f>
        <v/>
      </c>
      <c r="G160" s="17" t="str">
        <f aca="false">IF(OR(E160="",F160=""),"",ROUND(E160*F160,0))</f>
        <v/>
      </c>
    </row>
    <row r="161" customFormat="false" ht="15" hidden="false" customHeight="true" outlineLevel="0" collapsed="false">
      <c r="A161" s="13"/>
      <c r="B161" s="11"/>
      <c r="C161" s="13"/>
      <c r="D161" s="17" t="str">
        <f aca="false">IF(A161="","",SUMIF($A$2:$A$301,A161,$C$2:$C$301))</f>
        <v/>
      </c>
      <c r="E161" s="18" t="str">
        <f aca="false">IF(OR(A161="",D161="",D161=0),"",C161/D161)</f>
        <v/>
      </c>
      <c r="F161" s="17" t="str">
        <f aca="false">IFERROR(INDEX(商品資料!$H:$H,MATCH(A161,商品資料!$D:$D,0)),"")</f>
        <v/>
      </c>
      <c r="G161" s="17" t="str">
        <f aca="false">IF(OR(E161="",F161=""),"",ROUND(E161*F161,0))</f>
        <v/>
      </c>
    </row>
    <row r="162" customFormat="false" ht="15" hidden="false" customHeight="true" outlineLevel="0" collapsed="false">
      <c r="A162" s="13"/>
      <c r="B162" s="11"/>
      <c r="C162" s="13"/>
      <c r="D162" s="17" t="str">
        <f aca="false">IF(A162="","",SUMIF($A$2:$A$301,A162,$C$2:$C$301))</f>
        <v/>
      </c>
      <c r="E162" s="18" t="str">
        <f aca="false">IF(OR(A162="",D162="",D162=0),"",C162/D162)</f>
        <v/>
      </c>
      <c r="F162" s="17" t="str">
        <f aca="false">IFERROR(INDEX(商品資料!$H:$H,MATCH(A162,商品資料!$D:$D,0)),"")</f>
        <v/>
      </c>
      <c r="G162" s="17" t="str">
        <f aca="false">IF(OR(E162="",F162=""),"",ROUND(E162*F162,0))</f>
        <v/>
      </c>
    </row>
    <row r="163" customFormat="false" ht="15" hidden="false" customHeight="true" outlineLevel="0" collapsed="false">
      <c r="A163" s="13"/>
      <c r="B163" s="11"/>
      <c r="C163" s="13"/>
      <c r="D163" s="17" t="str">
        <f aca="false">IF(A163="","",SUMIF($A$2:$A$301,A163,$C$2:$C$301))</f>
        <v/>
      </c>
      <c r="E163" s="18" t="str">
        <f aca="false">IF(OR(A163="",D163="",D163=0),"",C163/D163)</f>
        <v/>
      </c>
      <c r="F163" s="17" t="str">
        <f aca="false">IFERROR(INDEX(商品資料!$H:$H,MATCH(A163,商品資料!$D:$D,0)),"")</f>
        <v/>
      </c>
      <c r="G163" s="17" t="str">
        <f aca="false">IF(OR(E163="",F163=""),"",ROUND(E163*F163,0))</f>
        <v/>
      </c>
    </row>
    <row r="164" customFormat="false" ht="15" hidden="false" customHeight="true" outlineLevel="0" collapsed="false">
      <c r="A164" s="13"/>
      <c r="B164" s="11"/>
      <c r="C164" s="13"/>
      <c r="D164" s="17" t="str">
        <f aca="false">IF(A164="","",SUMIF($A$2:$A$301,A164,$C$2:$C$301))</f>
        <v/>
      </c>
      <c r="E164" s="18" t="str">
        <f aca="false">IF(OR(A164="",D164="",D164=0),"",C164/D164)</f>
        <v/>
      </c>
      <c r="F164" s="17" t="str">
        <f aca="false">IFERROR(INDEX(商品資料!$H:$H,MATCH(A164,商品資料!$D:$D,0)),"")</f>
        <v/>
      </c>
      <c r="G164" s="17" t="str">
        <f aca="false">IF(OR(E164="",F164=""),"",ROUND(E164*F164,0))</f>
        <v/>
      </c>
    </row>
    <row r="165" customFormat="false" ht="15" hidden="false" customHeight="true" outlineLevel="0" collapsed="false">
      <c r="A165" s="13"/>
      <c r="B165" s="11"/>
      <c r="C165" s="13"/>
      <c r="D165" s="17" t="str">
        <f aca="false">IF(A165="","",SUMIF($A$2:$A$301,A165,$C$2:$C$301))</f>
        <v/>
      </c>
      <c r="E165" s="18" t="str">
        <f aca="false">IF(OR(A165="",D165="",D165=0),"",C165/D165)</f>
        <v/>
      </c>
      <c r="F165" s="17" t="str">
        <f aca="false">IFERROR(INDEX(商品資料!$H:$H,MATCH(A165,商品資料!$D:$D,0)),"")</f>
        <v/>
      </c>
      <c r="G165" s="17" t="str">
        <f aca="false">IF(OR(E165="",F165=""),"",ROUND(E165*F165,0))</f>
        <v/>
      </c>
    </row>
    <row r="166" customFormat="false" ht="15" hidden="false" customHeight="true" outlineLevel="0" collapsed="false">
      <c r="A166" s="13"/>
      <c r="B166" s="11"/>
      <c r="C166" s="13"/>
      <c r="D166" s="17" t="str">
        <f aca="false">IF(A166="","",SUMIF($A$2:$A$301,A166,$C$2:$C$301))</f>
        <v/>
      </c>
      <c r="E166" s="18" t="str">
        <f aca="false">IF(OR(A166="",D166="",D166=0),"",C166/D166)</f>
        <v/>
      </c>
      <c r="F166" s="17" t="str">
        <f aca="false">IFERROR(INDEX(商品資料!$H:$H,MATCH(A166,商品資料!$D:$D,0)),"")</f>
        <v/>
      </c>
      <c r="G166" s="17" t="str">
        <f aca="false">IF(OR(E166="",F166=""),"",ROUND(E166*F166,0))</f>
        <v/>
      </c>
    </row>
    <row r="167" customFormat="false" ht="15" hidden="false" customHeight="true" outlineLevel="0" collapsed="false">
      <c r="A167" s="13"/>
      <c r="B167" s="11"/>
      <c r="C167" s="13"/>
      <c r="D167" s="17" t="str">
        <f aca="false">IF(A167="","",SUMIF($A$2:$A$301,A167,$C$2:$C$301))</f>
        <v/>
      </c>
      <c r="E167" s="18" t="str">
        <f aca="false">IF(OR(A167="",D167="",D167=0),"",C167/D167)</f>
        <v/>
      </c>
      <c r="F167" s="17" t="str">
        <f aca="false">IFERROR(INDEX(商品資料!$H:$H,MATCH(A167,商品資料!$D:$D,0)),"")</f>
        <v/>
      </c>
      <c r="G167" s="17" t="str">
        <f aca="false">IF(OR(E167="",F167=""),"",ROUND(E167*F167,0))</f>
        <v/>
      </c>
    </row>
    <row r="168" customFormat="false" ht="15" hidden="false" customHeight="true" outlineLevel="0" collapsed="false">
      <c r="A168" s="13"/>
      <c r="B168" s="11"/>
      <c r="C168" s="13"/>
      <c r="D168" s="17" t="str">
        <f aca="false">IF(A168="","",SUMIF($A$2:$A$301,A168,$C$2:$C$301))</f>
        <v/>
      </c>
      <c r="E168" s="18" t="str">
        <f aca="false">IF(OR(A168="",D168="",D168=0),"",C168/D168)</f>
        <v/>
      </c>
      <c r="F168" s="17" t="str">
        <f aca="false">IFERROR(INDEX(商品資料!$H:$H,MATCH(A168,商品資料!$D:$D,0)),"")</f>
        <v/>
      </c>
      <c r="G168" s="17" t="str">
        <f aca="false">IF(OR(E168="",F168=""),"",ROUND(E168*F168,0))</f>
        <v/>
      </c>
    </row>
    <row r="169" customFormat="false" ht="15" hidden="false" customHeight="true" outlineLevel="0" collapsed="false">
      <c r="A169" s="13"/>
      <c r="B169" s="11"/>
      <c r="C169" s="13"/>
      <c r="D169" s="17" t="str">
        <f aca="false">IF(A169="","",SUMIF($A$2:$A$301,A169,$C$2:$C$301))</f>
        <v/>
      </c>
      <c r="E169" s="18" t="str">
        <f aca="false">IF(OR(A169="",D169="",D169=0),"",C169/D169)</f>
        <v/>
      </c>
      <c r="F169" s="17" t="str">
        <f aca="false">IFERROR(INDEX(商品資料!$H:$H,MATCH(A169,商品資料!$D:$D,0)),"")</f>
        <v/>
      </c>
      <c r="G169" s="17" t="str">
        <f aca="false">IF(OR(E169="",F169=""),"",ROUND(E169*F169,0))</f>
        <v/>
      </c>
    </row>
    <row r="170" customFormat="false" ht="15" hidden="false" customHeight="true" outlineLevel="0" collapsed="false">
      <c r="A170" s="13"/>
      <c r="B170" s="11"/>
      <c r="C170" s="13"/>
      <c r="D170" s="17" t="str">
        <f aca="false">IF(A170="","",SUMIF($A$2:$A$301,A170,$C$2:$C$301))</f>
        <v/>
      </c>
      <c r="E170" s="18" t="str">
        <f aca="false">IF(OR(A170="",D170="",D170=0),"",C170/D170)</f>
        <v/>
      </c>
      <c r="F170" s="17" t="str">
        <f aca="false">IFERROR(INDEX(商品資料!$H:$H,MATCH(A170,商品資料!$D:$D,0)),"")</f>
        <v/>
      </c>
      <c r="G170" s="17" t="str">
        <f aca="false">IF(OR(E170="",F170=""),"",ROUND(E170*F170,0))</f>
        <v/>
      </c>
    </row>
    <row r="171" customFormat="false" ht="15" hidden="false" customHeight="true" outlineLevel="0" collapsed="false">
      <c r="A171" s="13"/>
      <c r="B171" s="11"/>
      <c r="C171" s="13"/>
      <c r="D171" s="17" t="str">
        <f aca="false">IF(A171="","",SUMIF($A$2:$A$301,A171,$C$2:$C$301))</f>
        <v/>
      </c>
      <c r="E171" s="18" t="str">
        <f aca="false">IF(OR(A171="",D171="",D171=0),"",C171/D171)</f>
        <v/>
      </c>
      <c r="F171" s="17" t="str">
        <f aca="false">IFERROR(INDEX(商品資料!$H:$H,MATCH(A171,商品資料!$D:$D,0)),"")</f>
        <v/>
      </c>
      <c r="G171" s="17" t="str">
        <f aca="false">IF(OR(E171="",F171=""),"",ROUND(E171*F171,0))</f>
        <v/>
      </c>
    </row>
    <row r="172" customFormat="false" ht="15" hidden="false" customHeight="true" outlineLevel="0" collapsed="false">
      <c r="A172" s="13"/>
      <c r="B172" s="11"/>
      <c r="C172" s="13"/>
      <c r="D172" s="17" t="str">
        <f aca="false">IF(A172="","",SUMIF($A$2:$A$301,A172,$C$2:$C$301))</f>
        <v/>
      </c>
      <c r="E172" s="18" t="str">
        <f aca="false">IF(OR(A172="",D172="",D172=0),"",C172/D172)</f>
        <v/>
      </c>
      <c r="F172" s="17" t="str">
        <f aca="false">IFERROR(INDEX(商品資料!$H:$H,MATCH(A172,商品資料!$D:$D,0)),"")</f>
        <v/>
      </c>
      <c r="G172" s="17" t="str">
        <f aca="false">IF(OR(E172="",F172=""),"",ROUND(E172*F172,0))</f>
        <v/>
      </c>
    </row>
    <row r="173" customFormat="false" ht="15" hidden="false" customHeight="true" outlineLevel="0" collapsed="false">
      <c r="A173" s="13"/>
      <c r="B173" s="11"/>
      <c r="C173" s="13"/>
      <c r="D173" s="17" t="str">
        <f aca="false">IF(A173="","",SUMIF($A$2:$A$301,A173,$C$2:$C$301))</f>
        <v/>
      </c>
      <c r="E173" s="18" t="str">
        <f aca="false">IF(OR(A173="",D173="",D173=0),"",C173/D173)</f>
        <v/>
      </c>
      <c r="F173" s="17" t="str">
        <f aca="false">IFERROR(INDEX(商品資料!$H:$H,MATCH(A173,商品資料!$D:$D,0)),"")</f>
        <v/>
      </c>
      <c r="G173" s="17" t="str">
        <f aca="false">IF(OR(E173="",F173=""),"",ROUND(E173*F173,0))</f>
        <v/>
      </c>
    </row>
    <row r="174" customFormat="false" ht="15" hidden="false" customHeight="true" outlineLevel="0" collapsed="false">
      <c r="A174" s="13"/>
      <c r="B174" s="11"/>
      <c r="C174" s="13"/>
      <c r="D174" s="17" t="str">
        <f aca="false">IF(A174="","",SUMIF($A$2:$A$301,A174,$C$2:$C$301))</f>
        <v/>
      </c>
      <c r="E174" s="18" t="str">
        <f aca="false">IF(OR(A174="",D174="",D174=0),"",C174/D174)</f>
        <v/>
      </c>
      <c r="F174" s="17" t="str">
        <f aca="false">IFERROR(INDEX(商品資料!$H:$H,MATCH(A174,商品資料!$D:$D,0)),"")</f>
        <v/>
      </c>
      <c r="G174" s="17" t="str">
        <f aca="false">IF(OR(E174="",F174=""),"",ROUND(E174*F174,0))</f>
        <v/>
      </c>
    </row>
    <row r="175" customFormat="false" ht="15" hidden="false" customHeight="true" outlineLevel="0" collapsed="false">
      <c r="A175" s="13"/>
      <c r="B175" s="11"/>
      <c r="C175" s="13"/>
      <c r="D175" s="17" t="str">
        <f aca="false">IF(A175="","",SUMIF($A$2:$A$301,A175,$C$2:$C$301))</f>
        <v/>
      </c>
      <c r="E175" s="18" t="str">
        <f aca="false">IF(OR(A175="",D175="",D175=0),"",C175/D175)</f>
        <v/>
      </c>
      <c r="F175" s="17" t="str">
        <f aca="false">IFERROR(INDEX(商品資料!$H:$H,MATCH(A175,商品資料!$D:$D,0)),"")</f>
        <v/>
      </c>
      <c r="G175" s="17" t="str">
        <f aca="false">IF(OR(E175="",F175=""),"",ROUND(E175*F175,0))</f>
        <v/>
      </c>
    </row>
    <row r="176" customFormat="false" ht="15" hidden="false" customHeight="true" outlineLevel="0" collapsed="false">
      <c r="A176" s="13"/>
      <c r="B176" s="11"/>
      <c r="C176" s="13"/>
      <c r="D176" s="17" t="str">
        <f aca="false">IF(A176="","",SUMIF($A$2:$A$301,A176,$C$2:$C$301))</f>
        <v/>
      </c>
      <c r="E176" s="18" t="str">
        <f aca="false">IF(OR(A176="",D176="",D176=0),"",C176/D176)</f>
        <v/>
      </c>
      <c r="F176" s="17" t="str">
        <f aca="false">IFERROR(INDEX(商品資料!$H:$H,MATCH(A176,商品資料!$D:$D,0)),"")</f>
        <v/>
      </c>
      <c r="G176" s="17" t="str">
        <f aca="false">IF(OR(E176="",F176=""),"",ROUND(E176*F176,0))</f>
        <v/>
      </c>
    </row>
    <row r="177" customFormat="false" ht="15" hidden="false" customHeight="true" outlineLevel="0" collapsed="false">
      <c r="A177" s="13"/>
      <c r="B177" s="11"/>
      <c r="C177" s="13"/>
      <c r="D177" s="17" t="str">
        <f aca="false">IF(A177="","",SUMIF($A$2:$A$301,A177,$C$2:$C$301))</f>
        <v/>
      </c>
      <c r="E177" s="18" t="str">
        <f aca="false">IF(OR(A177="",D177="",D177=0),"",C177/D177)</f>
        <v/>
      </c>
      <c r="F177" s="17" t="str">
        <f aca="false">IFERROR(INDEX(商品資料!$H:$H,MATCH(A177,商品資料!$D:$D,0)),"")</f>
        <v/>
      </c>
      <c r="G177" s="17" t="str">
        <f aca="false">IF(OR(E177="",F177=""),"",ROUND(E177*F177,0))</f>
        <v/>
      </c>
    </row>
    <row r="178" customFormat="false" ht="15" hidden="false" customHeight="true" outlineLevel="0" collapsed="false">
      <c r="A178" s="13"/>
      <c r="B178" s="11"/>
      <c r="C178" s="13"/>
      <c r="D178" s="17" t="str">
        <f aca="false">IF(A178="","",SUMIF($A$2:$A$301,A178,$C$2:$C$301))</f>
        <v/>
      </c>
      <c r="E178" s="18" t="str">
        <f aca="false">IF(OR(A178="",D178="",D178=0),"",C178/D178)</f>
        <v/>
      </c>
      <c r="F178" s="17" t="str">
        <f aca="false">IFERROR(INDEX(商品資料!$H:$H,MATCH(A178,商品資料!$D:$D,0)),"")</f>
        <v/>
      </c>
      <c r="G178" s="17" t="str">
        <f aca="false">IF(OR(E178="",F178=""),"",ROUND(E178*F178,0))</f>
        <v/>
      </c>
    </row>
    <row r="179" customFormat="false" ht="15" hidden="false" customHeight="true" outlineLevel="0" collapsed="false">
      <c r="A179" s="13"/>
      <c r="B179" s="11"/>
      <c r="C179" s="13"/>
      <c r="D179" s="17" t="str">
        <f aca="false">IF(A179="","",SUMIF($A$2:$A$301,A179,$C$2:$C$301))</f>
        <v/>
      </c>
      <c r="E179" s="18" t="str">
        <f aca="false">IF(OR(A179="",D179="",D179=0),"",C179/D179)</f>
        <v/>
      </c>
      <c r="F179" s="17" t="str">
        <f aca="false">IFERROR(INDEX(商品資料!$H:$H,MATCH(A179,商品資料!$D:$D,0)),"")</f>
        <v/>
      </c>
      <c r="G179" s="17" t="str">
        <f aca="false">IF(OR(E179="",F179=""),"",ROUND(E179*F179,0))</f>
        <v/>
      </c>
    </row>
    <row r="180" customFormat="false" ht="15" hidden="false" customHeight="true" outlineLevel="0" collapsed="false">
      <c r="A180" s="13"/>
      <c r="B180" s="11"/>
      <c r="C180" s="13"/>
      <c r="D180" s="17" t="str">
        <f aca="false">IF(A180="","",SUMIF($A$2:$A$301,A180,$C$2:$C$301))</f>
        <v/>
      </c>
      <c r="E180" s="18" t="str">
        <f aca="false">IF(OR(A180="",D180="",D180=0),"",C180/D180)</f>
        <v/>
      </c>
      <c r="F180" s="17" t="str">
        <f aca="false">IFERROR(INDEX(商品資料!$H:$H,MATCH(A180,商品資料!$D:$D,0)),"")</f>
        <v/>
      </c>
      <c r="G180" s="17" t="str">
        <f aca="false">IF(OR(E180="",F180=""),"",ROUND(E180*F180,0))</f>
        <v/>
      </c>
    </row>
    <row r="181" customFormat="false" ht="15" hidden="false" customHeight="true" outlineLevel="0" collapsed="false">
      <c r="A181" s="13"/>
      <c r="B181" s="11"/>
      <c r="C181" s="13"/>
      <c r="D181" s="17" t="str">
        <f aca="false">IF(A181="","",SUMIF($A$2:$A$301,A181,$C$2:$C$301))</f>
        <v/>
      </c>
      <c r="E181" s="18" t="str">
        <f aca="false">IF(OR(A181="",D181="",D181=0),"",C181/D181)</f>
        <v/>
      </c>
      <c r="F181" s="17" t="str">
        <f aca="false">IFERROR(INDEX(商品資料!$H:$H,MATCH(A181,商品資料!$D:$D,0)),"")</f>
        <v/>
      </c>
      <c r="G181" s="17" t="str">
        <f aca="false">IF(OR(E181="",F181=""),"",ROUND(E181*F181,0))</f>
        <v/>
      </c>
    </row>
    <row r="182" customFormat="false" ht="15" hidden="false" customHeight="true" outlineLevel="0" collapsed="false">
      <c r="A182" s="13"/>
      <c r="B182" s="11"/>
      <c r="C182" s="13"/>
      <c r="D182" s="17" t="str">
        <f aca="false">IF(A182="","",SUMIF($A$2:$A$301,A182,$C$2:$C$301))</f>
        <v/>
      </c>
      <c r="E182" s="18" t="str">
        <f aca="false">IF(OR(A182="",D182="",D182=0),"",C182/D182)</f>
        <v/>
      </c>
      <c r="F182" s="17" t="str">
        <f aca="false">IFERROR(INDEX(商品資料!$H:$H,MATCH(A182,商品資料!$D:$D,0)),"")</f>
        <v/>
      </c>
      <c r="G182" s="17" t="str">
        <f aca="false">IF(OR(E182="",F182=""),"",ROUND(E182*F182,0))</f>
        <v/>
      </c>
    </row>
    <row r="183" customFormat="false" ht="15" hidden="false" customHeight="true" outlineLevel="0" collapsed="false">
      <c r="A183" s="13"/>
      <c r="B183" s="11"/>
      <c r="C183" s="13"/>
      <c r="D183" s="17" t="str">
        <f aca="false">IF(A183="","",SUMIF($A$2:$A$301,A183,$C$2:$C$301))</f>
        <v/>
      </c>
      <c r="E183" s="18" t="str">
        <f aca="false">IF(OR(A183="",D183="",D183=0),"",C183/D183)</f>
        <v/>
      </c>
      <c r="F183" s="17" t="str">
        <f aca="false">IFERROR(INDEX(商品資料!$H:$H,MATCH(A183,商品資料!$D:$D,0)),"")</f>
        <v/>
      </c>
      <c r="G183" s="17" t="str">
        <f aca="false">IF(OR(E183="",F183=""),"",ROUND(E183*F183,0))</f>
        <v/>
      </c>
    </row>
    <row r="184" customFormat="false" ht="15" hidden="false" customHeight="true" outlineLevel="0" collapsed="false">
      <c r="A184" s="13"/>
      <c r="B184" s="11"/>
      <c r="C184" s="13"/>
      <c r="D184" s="17" t="str">
        <f aca="false">IF(A184="","",SUMIF($A$2:$A$301,A184,$C$2:$C$301))</f>
        <v/>
      </c>
      <c r="E184" s="18" t="str">
        <f aca="false">IF(OR(A184="",D184="",D184=0),"",C184/D184)</f>
        <v/>
      </c>
      <c r="F184" s="17" t="str">
        <f aca="false">IFERROR(INDEX(商品資料!$H:$H,MATCH(A184,商品資料!$D:$D,0)),"")</f>
        <v/>
      </c>
      <c r="G184" s="17" t="str">
        <f aca="false">IF(OR(E184="",F184=""),"",ROUND(E184*F184,0))</f>
        <v/>
      </c>
    </row>
    <row r="185" customFormat="false" ht="15" hidden="false" customHeight="true" outlineLevel="0" collapsed="false">
      <c r="A185" s="13"/>
      <c r="B185" s="11"/>
      <c r="C185" s="13"/>
      <c r="D185" s="17" t="str">
        <f aca="false">IF(A185="","",SUMIF($A$2:$A$301,A185,$C$2:$C$301))</f>
        <v/>
      </c>
      <c r="E185" s="18" t="str">
        <f aca="false">IF(OR(A185="",D185="",D185=0),"",C185/D185)</f>
        <v/>
      </c>
      <c r="F185" s="17" t="str">
        <f aca="false">IFERROR(INDEX(商品資料!$H:$H,MATCH(A185,商品資料!$D:$D,0)),"")</f>
        <v/>
      </c>
      <c r="G185" s="17" t="str">
        <f aca="false">IF(OR(E185="",F185=""),"",ROUND(E185*F185,0))</f>
        <v/>
      </c>
    </row>
    <row r="186" customFormat="false" ht="15" hidden="false" customHeight="true" outlineLevel="0" collapsed="false">
      <c r="A186" s="13"/>
      <c r="B186" s="11"/>
      <c r="C186" s="13"/>
      <c r="D186" s="17" t="str">
        <f aca="false">IF(A186="","",SUMIF($A$2:$A$301,A186,$C$2:$C$301))</f>
        <v/>
      </c>
      <c r="E186" s="18" t="str">
        <f aca="false">IF(OR(A186="",D186="",D186=0),"",C186/D186)</f>
        <v/>
      </c>
      <c r="F186" s="17" t="str">
        <f aca="false">IFERROR(INDEX(商品資料!$H:$H,MATCH(A186,商品資料!$D:$D,0)),"")</f>
        <v/>
      </c>
      <c r="G186" s="17" t="str">
        <f aca="false">IF(OR(E186="",F186=""),"",ROUND(E186*F186,0))</f>
        <v/>
      </c>
    </row>
    <row r="187" customFormat="false" ht="15" hidden="false" customHeight="true" outlineLevel="0" collapsed="false">
      <c r="A187" s="13"/>
      <c r="B187" s="11"/>
      <c r="C187" s="13"/>
      <c r="D187" s="17" t="str">
        <f aca="false">IF(A187="","",SUMIF($A$2:$A$301,A187,$C$2:$C$301))</f>
        <v/>
      </c>
      <c r="E187" s="18" t="str">
        <f aca="false">IF(OR(A187="",D187="",D187=0),"",C187/D187)</f>
        <v/>
      </c>
      <c r="F187" s="17" t="str">
        <f aca="false">IFERROR(INDEX(商品資料!$H:$H,MATCH(A187,商品資料!$D:$D,0)),"")</f>
        <v/>
      </c>
      <c r="G187" s="17" t="str">
        <f aca="false">IF(OR(E187="",F187=""),"",ROUND(E187*F187,0))</f>
        <v/>
      </c>
    </row>
    <row r="188" customFormat="false" ht="15" hidden="false" customHeight="true" outlineLevel="0" collapsed="false">
      <c r="A188" s="13"/>
      <c r="B188" s="11"/>
      <c r="C188" s="13"/>
      <c r="D188" s="17" t="str">
        <f aca="false">IF(A188="","",SUMIF($A$2:$A$301,A188,$C$2:$C$301))</f>
        <v/>
      </c>
      <c r="E188" s="18" t="str">
        <f aca="false">IF(OR(A188="",D188="",D188=0),"",C188/D188)</f>
        <v/>
      </c>
      <c r="F188" s="17" t="str">
        <f aca="false">IFERROR(INDEX(商品資料!$H:$H,MATCH(A188,商品資料!$D:$D,0)),"")</f>
        <v/>
      </c>
      <c r="G188" s="17" t="str">
        <f aca="false">IF(OR(E188="",F188=""),"",ROUND(E188*F188,0))</f>
        <v/>
      </c>
    </row>
    <row r="189" customFormat="false" ht="15" hidden="false" customHeight="true" outlineLevel="0" collapsed="false">
      <c r="A189" s="13"/>
      <c r="B189" s="11"/>
      <c r="C189" s="13"/>
      <c r="D189" s="17" t="str">
        <f aca="false">IF(A189="","",SUMIF($A$2:$A$301,A189,$C$2:$C$301))</f>
        <v/>
      </c>
      <c r="E189" s="18" t="str">
        <f aca="false">IF(OR(A189="",D189="",D189=0),"",C189/D189)</f>
        <v/>
      </c>
      <c r="F189" s="17" t="str">
        <f aca="false">IFERROR(INDEX(商品資料!$H:$H,MATCH(A189,商品資料!$D:$D,0)),"")</f>
        <v/>
      </c>
      <c r="G189" s="17" t="str">
        <f aca="false">IF(OR(E189="",F189=""),"",ROUND(E189*F189,0))</f>
        <v/>
      </c>
    </row>
    <row r="190" customFormat="false" ht="15" hidden="false" customHeight="true" outlineLevel="0" collapsed="false">
      <c r="A190" s="13"/>
      <c r="B190" s="11"/>
      <c r="C190" s="13"/>
      <c r="D190" s="17" t="str">
        <f aca="false">IF(A190="","",SUMIF($A$2:$A$301,A190,$C$2:$C$301))</f>
        <v/>
      </c>
      <c r="E190" s="18" t="str">
        <f aca="false">IF(OR(A190="",D190="",D190=0),"",C190/D190)</f>
        <v/>
      </c>
      <c r="F190" s="17" t="str">
        <f aca="false">IFERROR(INDEX(商品資料!$H:$H,MATCH(A190,商品資料!$D:$D,0)),"")</f>
        <v/>
      </c>
      <c r="G190" s="17" t="str">
        <f aca="false">IF(OR(E190="",F190=""),"",ROUND(E190*F190,0))</f>
        <v/>
      </c>
    </row>
    <row r="191" customFormat="false" ht="15" hidden="false" customHeight="true" outlineLevel="0" collapsed="false">
      <c r="A191" s="13"/>
      <c r="B191" s="11"/>
      <c r="C191" s="13"/>
      <c r="D191" s="17" t="str">
        <f aca="false">IF(A191="","",SUMIF($A$2:$A$301,A191,$C$2:$C$301))</f>
        <v/>
      </c>
      <c r="E191" s="18" t="str">
        <f aca="false">IF(OR(A191="",D191="",D191=0),"",C191/D191)</f>
        <v/>
      </c>
      <c r="F191" s="17" t="str">
        <f aca="false">IFERROR(INDEX(商品資料!$H:$H,MATCH(A191,商品資料!$D:$D,0)),"")</f>
        <v/>
      </c>
      <c r="G191" s="17" t="str">
        <f aca="false">IF(OR(E191="",F191=""),"",ROUND(E191*F191,0))</f>
        <v/>
      </c>
    </row>
    <row r="192" customFormat="false" ht="15" hidden="false" customHeight="true" outlineLevel="0" collapsed="false">
      <c r="A192" s="13"/>
      <c r="B192" s="11"/>
      <c r="C192" s="13"/>
      <c r="D192" s="17" t="str">
        <f aca="false">IF(A192="","",SUMIF($A$2:$A$301,A192,$C$2:$C$301))</f>
        <v/>
      </c>
      <c r="E192" s="18" t="str">
        <f aca="false">IF(OR(A192="",D192="",D192=0),"",C192/D192)</f>
        <v/>
      </c>
      <c r="F192" s="17" t="str">
        <f aca="false">IFERROR(INDEX(商品資料!$H:$H,MATCH(A192,商品資料!$D:$D,0)),"")</f>
        <v/>
      </c>
      <c r="G192" s="17" t="str">
        <f aca="false">IF(OR(E192="",F192=""),"",ROUND(E192*F192,0))</f>
        <v/>
      </c>
    </row>
    <row r="193" customFormat="false" ht="15" hidden="false" customHeight="true" outlineLevel="0" collapsed="false">
      <c r="A193" s="13"/>
      <c r="B193" s="11"/>
      <c r="C193" s="13"/>
      <c r="D193" s="17" t="str">
        <f aca="false">IF(A193="","",SUMIF($A$2:$A$301,A193,$C$2:$C$301))</f>
        <v/>
      </c>
      <c r="E193" s="18" t="str">
        <f aca="false">IF(OR(A193="",D193="",D193=0),"",C193/D193)</f>
        <v/>
      </c>
      <c r="F193" s="17" t="str">
        <f aca="false">IFERROR(INDEX(商品資料!$H:$H,MATCH(A193,商品資料!$D:$D,0)),"")</f>
        <v/>
      </c>
      <c r="G193" s="17" t="str">
        <f aca="false">IF(OR(E193="",F193=""),"",ROUND(E193*F193,0))</f>
        <v/>
      </c>
    </row>
    <row r="194" customFormat="false" ht="15" hidden="false" customHeight="true" outlineLevel="0" collapsed="false">
      <c r="A194" s="13"/>
      <c r="B194" s="11"/>
      <c r="C194" s="13"/>
      <c r="D194" s="17" t="str">
        <f aca="false">IF(A194="","",SUMIF($A$2:$A$301,A194,$C$2:$C$301))</f>
        <v/>
      </c>
      <c r="E194" s="18" t="str">
        <f aca="false">IF(OR(A194="",D194="",D194=0),"",C194/D194)</f>
        <v/>
      </c>
      <c r="F194" s="17" t="str">
        <f aca="false">IFERROR(INDEX(商品資料!$H:$H,MATCH(A194,商品資料!$D:$D,0)),"")</f>
        <v/>
      </c>
      <c r="G194" s="17" t="str">
        <f aca="false">IF(OR(E194="",F194=""),"",ROUND(E194*F194,0))</f>
        <v/>
      </c>
    </row>
    <row r="195" customFormat="false" ht="15" hidden="false" customHeight="true" outlineLevel="0" collapsed="false">
      <c r="A195" s="13"/>
      <c r="B195" s="11"/>
      <c r="C195" s="13"/>
      <c r="D195" s="17" t="str">
        <f aca="false">IF(A195="","",SUMIF($A$2:$A$301,A195,$C$2:$C$301))</f>
        <v/>
      </c>
      <c r="E195" s="18" t="str">
        <f aca="false">IF(OR(A195="",D195="",D195=0),"",C195/D195)</f>
        <v/>
      </c>
      <c r="F195" s="17" t="str">
        <f aca="false">IFERROR(INDEX(商品資料!$H:$H,MATCH(A195,商品資料!$D:$D,0)),"")</f>
        <v/>
      </c>
      <c r="G195" s="17" t="str">
        <f aca="false">IF(OR(E195="",F195=""),"",ROUND(E195*F195,0))</f>
        <v/>
      </c>
    </row>
    <row r="196" customFormat="false" ht="15" hidden="false" customHeight="true" outlineLevel="0" collapsed="false">
      <c r="A196" s="13"/>
      <c r="B196" s="11"/>
      <c r="C196" s="13"/>
      <c r="D196" s="17" t="str">
        <f aca="false">IF(A196="","",SUMIF($A$2:$A$301,A196,$C$2:$C$301))</f>
        <v/>
      </c>
      <c r="E196" s="18" t="str">
        <f aca="false">IF(OR(A196="",D196="",D196=0),"",C196/D196)</f>
        <v/>
      </c>
      <c r="F196" s="17" t="str">
        <f aca="false">IFERROR(INDEX(商品資料!$H:$H,MATCH(A196,商品資料!$D:$D,0)),"")</f>
        <v/>
      </c>
      <c r="G196" s="17" t="str">
        <f aca="false">IF(OR(E196="",F196=""),"",ROUND(E196*F196,0))</f>
        <v/>
      </c>
    </row>
    <row r="197" customFormat="false" ht="15" hidden="false" customHeight="true" outlineLevel="0" collapsed="false">
      <c r="A197" s="13"/>
      <c r="B197" s="11"/>
      <c r="C197" s="13"/>
      <c r="D197" s="17" t="str">
        <f aca="false">IF(A197="","",SUMIF($A$2:$A$301,A197,$C$2:$C$301))</f>
        <v/>
      </c>
      <c r="E197" s="18" t="str">
        <f aca="false">IF(OR(A197="",D197="",D197=0),"",C197/D197)</f>
        <v/>
      </c>
      <c r="F197" s="17" t="str">
        <f aca="false">IFERROR(INDEX(商品資料!$H:$H,MATCH(A197,商品資料!$D:$D,0)),"")</f>
        <v/>
      </c>
      <c r="G197" s="17" t="str">
        <f aca="false">IF(OR(E197="",F197=""),"",ROUND(E197*F197,0))</f>
        <v/>
      </c>
    </row>
    <row r="198" customFormat="false" ht="15" hidden="false" customHeight="true" outlineLevel="0" collapsed="false">
      <c r="A198" s="13"/>
      <c r="B198" s="11"/>
      <c r="C198" s="13"/>
      <c r="D198" s="17" t="str">
        <f aca="false">IF(A198="","",SUMIF($A$2:$A$301,A198,$C$2:$C$301))</f>
        <v/>
      </c>
      <c r="E198" s="18" t="str">
        <f aca="false">IF(OR(A198="",D198="",D198=0),"",C198/D198)</f>
        <v/>
      </c>
      <c r="F198" s="17" t="str">
        <f aca="false">IFERROR(INDEX(商品資料!$H:$H,MATCH(A198,商品資料!$D:$D,0)),"")</f>
        <v/>
      </c>
      <c r="G198" s="17" t="str">
        <f aca="false">IF(OR(E198="",F198=""),"",ROUND(E198*F198,0))</f>
        <v/>
      </c>
    </row>
    <row r="199" customFormat="false" ht="15" hidden="false" customHeight="true" outlineLevel="0" collapsed="false">
      <c r="A199" s="13"/>
      <c r="B199" s="11"/>
      <c r="C199" s="13"/>
      <c r="D199" s="17" t="str">
        <f aca="false">IF(A199="","",SUMIF($A$2:$A$301,A199,$C$2:$C$301))</f>
        <v/>
      </c>
      <c r="E199" s="18" t="str">
        <f aca="false">IF(OR(A199="",D199="",D199=0),"",C199/D199)</f>
        <v/>
      </c>
      <c r="F199" s="17" t="str">
        <f aca="false">IFERROR(INDEX(商品資料!$H:$H,MATCH(A199,商品資料!$D:$D,0)),"")</f>
        <v/>
      </c>
      <c r="G199" s="17" t="str">
        <f aca="false">IF(OR(E199="",F199=""),"",ROUND(E199*F199,0))</f>
        <v/>
      </c>
    </row>
    <row r="200" customFormat="false" ht="15" hidden="false" customHeight="true" outlineLevel="0" collapsed="false">
      <c r="A200" s="13"/>
      <c r="B200" s="11"/>
      <c r="C200" s="13"/>
      <c r="D200" s="17" t="str">
        <f aca="false">IF(A200="","",SUMIF($A$2:$A$301,A200,$C$2:$C$301))</f>
        <v/>
      </c>
      <c r="E200" s="18" t="str">
        <f aca="false">IF(OR(A200="",D200="",D200=0),"",C200/D200)</f>
        <v/>
      </c>
      <c r="F200" s="17" t="str">
        <f aca="false">IFERROR(INDEX(商品資料!$H:$H,MATCH(A200,商品資料!$D:$D,0)),"")</f>
        <v/>
      </c>
      <c r="G200" s="17" t="str">
        <f aca="false">IF(OR(E200="",F200=""),"",ROUND(E200*F200,0))</f>
        <v/>
      </c>
    </row>
    <row r="201" customFormat="false" ht="15" hidden="false" customHeight="true" outlineLevel="0" collapsed="false">
      <c r="A201" s="13"/>
      <c r="B201" s="11"/>
      <c r="C201" s="13"/>
      <c r="D201" s="17" t="str">
        <f aca="false">IF(A201="","",SUMIF($A$2:$A$301,A201,$C$2:$C$301))</f>
        <v/>
      </c>
      <c r="E201" s="18" t="str">
        <f aca="false">IF(OR(A201="",D201="",D201=0),"",C201/D201)</f>
        <v/>
      </c>
      <c r="F201" s="17" t="str">
        <f aca="false">IFERROR(INDEX(商品資料!$H:$H,MATCH(A201,商品資料!$D:$D,0)),"")</f>
        <v/>
      </c>
      <c r="G201" s="17" t="str">
        <f aca="false">IF(OR(E201="",F201=""),"",ROUND(E201*F201,0))</f>
        <v/>
      </c>
    </row>
    <row r="202" customFormat="false" ht="15" hidden="false" customHeight="true" outlineLevel="0" collapsed="false">
      <c r="A202" s="13"/>
      <c r="B202" s="11"/>
      <c r="C202" s="13"/>
      <c r="D202" s="17" t="str">
        <f aca="false">IF(A202="","",SUMIF($A$2:$A$301,A202,$C$2:$C$301))</f>
        <v/>
      </c>
      <c r="E202" s="18" t="str">
        <f aca="false">IF(OR(A202="",D202="",D202=0),"",C202/D202)</f>
        <v/>
      </c>
      <c r="F202" s="17" t="str">
        <f aca="false">IFERROR(INDEX(商品資料!$H:$H,MATCH(A202,商品資料!$D:$D,0)),"")</f>
        <v/>
      </c>
      <c r="G202" s="17" t="str">
        <f aca="false">IF(OR(E202="",F202=""),"",ROUND(E202*F202,0))</f>
        <v/>
      </c>
    </row>
    <row r="203" customFormat="false" ht="15" hidden="false" customHeight="true" outlineLevel="0" collapsed="false">
      <c r="A203" s="13"/>
      <c r="B203" s="11"/>
      <c r="C203" s="13"/>
      <c r="D203" s="17" t="str">
        <f aca="false">IF(A203="","",SUMIF($A$2:$A$301,A203,$C$2:$C$301))</f>
        <v/>
      </c>
      <c r="E203" s="18" t="str">
        <f aca="false">IF(OR(A203="",D203="",D203=0),"",C203/D203)</f>
        <v/>
      </c>
      <c r="F203" s="17" t="str">
        <f aca="false">IFERROR(INDEX(商品資料!$H:$H,MATCH(A203,商品資料!$D:$D,0)),"")</f>
        <v/>
      </c>
      <c r="G203" s="17" t="str">
        <f aca="false">IF(OR(E203="",F203=""),"",ROUND(E203*F203,0))</f>
        <v/>
      </c>
    </row>
    <row r="204" customFormat="false" ht="15" hidden="false" customHeight="true" outlineLevel="0" collapsed="false">
      <c r="A204" s="13"/>
      <c r="B204" s="11"/>
      <c r="C204" s="13"/>
      <c r="D204" s="17" t="str">
        <f aca="false">IF(A204="","",SUMIF($A$2:$A$301,A204,$C$2:$C$301))</f>
        <v/>
      </c>
      <c r="E204" s="18" t="str">
        <f aca="false">IF(OR(A204="",D204="",D204=0),"",C204/D204)</f>
        <v/>
      </c>
      <c r="F204" s="17" t="str">
        <f aca="false">IFERROR(INDEX(商品資料!$H:$H,MATCH(A204,商品資料!$D:$D,0)),"")</f>
        <v/>
      </c>
      <c r="G204" s="17" t="str">
        <f aca="false">IF(OR(E204="",F204=""),"",ROUND(E204*F204,0))</f>
        <v/>
      </c>
    </row>
    <row r="205" customFormat="false" ht="15" hidden="false" customHeight="true" outlineLevel="0" collapsed="false">
      <c r="A205" s="13"/>
      <c r="B205" s="11"/>
      <c r="C205" s="13"/>
      <c r="D205" s="17" t="str">
        <f aca="false">IF(A205="","",SUMIF($A$2:$A$301,A205,$C$2:$C$301))</f>
        <v/>
      </c>
      <c r="E205" s="18" t="str">
        <f aca="false">IF(OR(A205="",D205="",D205=0),"",C205/D205)</f>
        <v/>
      </c>
      <c r="F205" s="17" t="str">
        <f aca="false">IFERROR(INDEX(商品資料!$H:$H,MATCH(A205,商品資料!$D:$D,0)),"")</f>
        <v/>
      </c>
      <c r="G205" s="17" t="str">
        <f aca="false">IF(OR(E205="",F205=""),"",ROUND(E205*F205,0))</f>
        <v/>
      </c>
    </row>
    <row r="206" customFormat="false" ht="15" hidden="false" customHeight="true" outlineLevel="0" collapsed="false">
      <c r="A206" s="13"/>
      <c r="B206" s="11"/>
      <c r="C206" s="13"/>
      <c r="D206" s="17" t="str">
        <f aca="false">IF(A206="","",SUMIF($A$2:$A$301,A206,$C$2:$C$301))</f>
        <v/>
      </c>
      <c r="E206" s="18" t="str">
        <f aca="false">IF(OR(A206="",D206="",D206=0),"",C206/D206)</f>
        <v/>
      </c>
      <c r="F206" s="17" t="str">
        <f aca="false">IFERROR(INDEX(商品資料!$H:$H,MATCH(A206,商品資料!$D:$D,0)),"")</f>
        <v/>
      </c>
      <c r="G206" s="17" t="str">
        <f aca="false">IF(OR(E206="",F206=""),"",ROUND(E206*F206,0))</f>
        <v/>
      </c>
    </row>
    <row r="207" customFormat="false" ht="15" hidden="false" customHeight="true" outlineLevel="0" collapsed="false">
      <c r="A207" s="13"/>
      <c r="B207" s="11"/>
      <c r="C207" s="13"/>
      <c r="D207" s="17" t="str">
        <f aca="false">IF(A207="","",SUMIF($A$2:$A$301,A207,$C$2:$C$301))</f>
        <v/>
      </c>
      <c r="E207" s="18" t="str">
        <f aca="false">IF(OR(A207="",D207="",D207=0),"",C207/D207)</f>
        <v/>
      </c>
      <c r="F207" s="17" t="str">
        <f aca="false">IFERROR(INDEX(商品資料!$H:$H,MATCH(A207,商品資料!$D:$D,0)),"")</f>
        <v/>
      </c>
      <c r="G207" s="17" t="str">
        <f aca="false">IF(OR(E207="",F207=""),"",ROUND(E207*F207,0))</f>
        <v/>
      </c>
    </row>
    <row r="208" customFormat="false" ht="15" hidden="false" customHeight="true" outlineLevel="0" collapsed="false">
      <c r="A208" s="13"/>
      <c r="B208" s="11"/>
      <c r="C208" s="13"/>
      <c r="D208" s="17" t="str">
        <f aca="false">IF(A208="","",SUMIF($A$2:$A$301,A208,$C$2:$C$301))</f>
        <v/>
      </c>
      <c r="E208" s="18" t="str">
        <f aca="false">IF(OR(A208="",D208="",D208=0),"",C208/D208)</f>
        <v/>
      </c>
      <c r="F208" s="17" t="str">
        <f aca="false">IFERROR(INDEX(商品資料!$H:$H,MATCH(A208,商品資料!$D:$D,0)),"")</f>
        <v/>
      </c>
      <c r="G208" s="17" t="str">
        <f aca="false">IF(OR(E208="",F208=""),"",ROUND(E208*F208,0))</f>
        <v/>
      </c>
    </row>
    <row r="209" customFormat="false" ht="15" hidden="false" customHeight="true" outlineLevel="0" collapsed="false">
      <c r="A209" s="13"/>
      <c r="B209" s="11"/>
      <c r="C209" s="13"/>
      <c r="D209" s="17" t="str">
        <f aca="false">IF(A209="","",SUMIF($A$2:$A$301,A209,$C$2:$C$301))</f>
        <v/>
      </c>
      <c r="E209" s="18" t="str">
        <f aca="false">IF(OR(A209="",D209="",D209=0),"",C209/D209)</f>
        <v/>
      </c>
      <c r="F209" s="17" t="str">
        <f aca="false">IFERROR(INDEX(商品資料!$H:$H,MATCH(A209,商品資料!$D:$D,0)),"")</f>
        <v/>
      </c>
      <c r="G209" s="17" t="str">
        <f aca="false">IF(OR(E209="",F209=""),"",ROUND(E209*F209,0))</f>
        <v/>
      </c>
    </row>
    <row r="210" customFormat="false" ht="15" hidden="false" customHeight="true" outlineLevel="0" collapsed="false">
      <c r="A210" s="13"/>
      <c r="B210" s="11"/>
      <c r="C210" s="13"/>
      <c r="D210" s="17" t="str">
        <f aca="false">IF(A210="","",SUMIF($A$2:$A$301,A210,$C$2:$C$301))</f>
        <v/>
      </c>
      <c r="E210" s="18" t="str">
        <f aca="false">IF(OR(A210="",D210="",D210=0),"",C210/D210)</f>
        <v/>
      </c>
      <c r="F210" s="17" t="str">
        <f aca="false">IFERROR(INDEX(商品資料!$H:$H,MATCH(A210,商品資料!$D:$D,0)),"")</f>
        <v/>
      </c>
      <c r="G210" s="17" t="str">
        <f aca="false">IF(OR(E210="",F210=""),"",ROUND(E210*F210,0))</f>
        <v/>
      </c>
    </row>
    <row r="211" customFormat="false" ht="15" hidden="false" customHeight="true" outlineLevel="0" collapsed="false">
      <c r="A211" s="13"/>
      <c r="B211" s="11"/>
      <c r="C211" s="13"/>
      <c r="D211" s="17" t="str">
        <f aca="false">IF(A211="","",SUMIF($A$2:$A$301,A211,$C$2:$C$301))</f>
        <v/>
      </c>
      <c r="E211" s="18" t="str">
        <f aca="false">IF(OR(A211="",D211="",D211=0),"",C211/D211)</f>
        <v/>
      </c>
      <c r="F211" s="17" t="str">
        <f aca="false">IFERROR(INDEX(商品資料!$H:$H,MATCH(A211,商品資料!$D:$D,0)),"")</f>
        <v/>
      </c>
      <c r="G211" s="17" t="str">
        <f aca="false">IF(OR(E211="",F211=""),"",ROUND(E211*F211,0))</f>
        <v/>
      </c>
    </row>
    <row r="212" customFormat="false" ht="15" hidden="false" customHeight="true" outlineLevel="0" collapsed="false">
      <c r="A212" s="13"/>
      <c r="B212" s="11"/>
      <c r="C212" s="13"/>
      <c r="D212" s="17" t="str">
        <f aca="false">IF(A212="","",SUMIF($A$2:$A$301,A212,$C$2:$C$301))</f>
        <v/>
      </c>
      <c r="E212" s="18" t="str">
        <f aca="false">IF(OR(A212="",D212="",D212=0),"",C212/D212)</f>
        <v/>
      </c>
      <c r="F212" s="17" t="str">
        <f aca="false">IFERROR(INDEX(商品資料!$H:$H,MATCH(A212,商品資料!$D:$D,0)),"")</f>
        <v/>
      </c>
      <c r="G212" s="17" t="str">
        <f aca="false">IF(OR(E212="",F212=""),"",ROUND(E212*F212,0))</f>
        <v/>
      </c>
    </row>
    <row r="213" customFormat="false" ht="15" hidden="false" customHeight="true" outlineLevel="0" collapsed="false">
      <c r="A213" s="13"/>
      <c r="B213" s="11"/>
      <c r="C213" s="13"/>
      <c r="D213" s="17" t="str">
        <f aca="false">IF(A213="","",SUMIF($A$2:$A$301,A213,$C$2:$C$301))</f>
        <v/>
      </c>
      <c r="E213" s="18" t="str">
        <f aca="false">IF(OR(A213="",D213="",D213=0),"",C213/D213)</f>
        <v/>
      </c>
      <c r="F213" s="17" t="str">
        <f aca="false">IFERROR(INDEX(商品資料!$H:$H,MATCH(A213,商品資料!$D:$D,0)),"")</f>
        <v/>
      </c>
      <c r="G213" s="17" t="str">
        <f aca="false">IF(OR(E213="",F213=""),"",ROUND(E213*F213,0))</f>
        <v/>
      </c>
    </row>
    <row r="214" customFormat="false" ht="15" hidden="false" customHeight="true" outlineLevel="0" collapsed="false">
      <c r="A214" s="13"/>
      <c r="B214" s="11"/>
      <c r="C214" s="13"/>
      <c r="D214" s="17" t="str">
        <f aca="false">IF(A214="","",SUMIF($A$2:$A$301,A214,$C$2:$C$301))</f>
        <v/>
      </c>
      <c r="E214" s="18" t="str">
        <f aca="false">IF(OR(A214="",D214="",D214=0),"",C214/D214)</f>
        <v/>
      </c>
      <c r="F214" s="17" t="str">
        <f aca="false">IFERROR(INDEX(商品資料!$H:$H,MATCH(A214,商品資料!$D:$D,0)),"")</f>
        <v/>
      </c>
      <c r="G214" s="17" t="str">
        <f aca="false">IF(OR(E214="",F214=""),"",ROUND(E214*F214,0))</f>
        <v/>
      </c>
    </row>
    <row r="215" customFormat="false" ht="15" hidden="false" customHeight="true" outlineLevel="0" collapsed="false">
      <c r="A215" s="13"/>
      <c r="B215" s="11"/>
      <c r="C215" s="13"/>
      <c r="D215" s="17" t="str">
        <f aca="false">IF(A215="","",SUMIF($A$2:$A$301,A215,$C$2:$C$301))</f>
        <v/>
      </c>
      <c r="E215" s="18" t="str">
        <f aca="false">IF(OR(A215="",D215="",D215=0),"",C215/D215)</f>
        <v/>
      </c>
      <c r="F215" s="17" t="str">
        <f aca="false">IFERROR(INDEX(商品資料!$H:$H,MATCH(A215,商品資料!$D:$D,0)),"")</f>
        <v/>
      </c>
      <c r="G215" s="17" t="str">
        <f aca="false">IF(OR(E215="",F215=""),"",ROUND(E215*F215,0))</f>
        <v/>
      </c>
    </row>
    <row r="216" customFormat="false" ht="15" hidden="false" customHeight="true" outlineLevel="0" collapsed="false">
      <c r="A216" s="13"/>
      <c r="B216" s="11"/>
      <c r="C216" s="13"/>
      <c r="D216" s="17" t="str">
        <f aca="false">IF(A216="","",SUMIF($A$2:$A$301,A216,$C$2:$C$301))</f>
        <v/>
      </c>
      <c r="E216" s="18" t="str">
        <f aca="false">IF(OR(A216="",D216="",D216=0),"",C216/D216)</f>
        <v/>
      </c>
      <c r="F216" s="17" t="str">
        <f aca="false">IFERROR(INDEX(商品資料!$H:$H,MATCH(A216,商品資料!$D:$D,0)),"")</f>
        <v/>
      </c>
      <c r="G216" s="17" t="str">
        <f aca="false">IF(OR(E216="",F216=""),"",ROUND(E216*F216,0))</f>
        <v/>
      </c>
    </row>
    <row r="217" customFormat="false" ht="15" hidden="false" customHeight="true" outlineLevel="0" collapsed="false">
      <c r="A217" s="13"/>
      <c r="B217" s="11"/>
      <c r="C217" s="13"/>
      <c r="D217" s="17" t="str">
        <f aca="false">IF(A217="","",SUMIF($A$2:$A$301,A217,$C$2:$C$301))</f>
        <v/>
      </c>
      <c r="E217" s="18" t="str">
        <f aca="false">IF(OR(A217="",D217="",D217=0),"",C217/D217)</f>
        <v/>
      </c>
      <c r="F217" s="17" t="str">
        <f aca="false">IFERROR(INDEX(商品資料!$H:$H,MATCH(A217,商品資料!$D:$D,0)),"")</f>
        <v/>
      </c>
      <c r="G217" s="17" t="str">
        <f aca="false">IF(OR(E217="",F217=""),"",ROUND(E217*F217,0))</f>
        <v/>
      </c>
    </row>
    <row r="218" customFormat="false" ht="15" hidden="false" customHeight="true" outlineLevel="0" collapsed="false">
      <c r="A218" s="13"/>
      <c r="B218" s="11"/>
      <c r="C218" s="13"/>
      <c r="D218" s="17" t="str">
        <f aca="false">IF(A218="","",SUMIF($A$2:$A$301,A218,$C$2:$C$301))</f>
        <v/>
      </c>
      <c r="E218" s="18" t="str">
        <f aca="false">IF(OR(A218="",D218="",D218=0),"",C218/D218)</f>
        <v/>
      </c>
      <c r="F218" s="17" t="str">
        <f aca="false">IFERROR(INDEX(商品資料!$H:$H,MATCH(A218,商品資料!$D:$D,0)),"")</f>
        <v/>
      </c>
      <c r="G218" s="17" t="str">
        <f aca="false">IF(OR(E218="",F218=""),"",ROUND(E218*F218,0))</f>
        <v/>
      </c>
    </row>
    <row r="219" customFormat="false" ht="15" hidden="false" customHeight="true" outlineLevel="0" collapsed="false">
      <c r="A219" s="13"/>
      <c r="B219" s="11"/>
      <c r="C219" s="13"/>
      <c r="D219" s="17" t="str">
        <f aca="false">IF(A219="","",SUMIF($A$2:$A$301,A219,$C$2:$C$301))</f>
        <v/>
      </c>
      <c r="E219" s="18" t="str">
        <f aca="false">IF(OR(A219="",D219="",D219=0),"",C219/D219)</f>
        <v/>
      </c>
      <c r="F219" s="17" t="str">
        <f aca="false">IFERROR(INDEX(商品資料!$H:$H,MATCH(A219,商品資料!$D:$D,0)),"")</f>
        <v/>
      </c>
      <c r="G219" s="17" t="str">
        <f aca="false">IF(OR(E219="",F219=""),"",ROUND(E219*F219,0))</f>
        <v/>
      </c>
    </row>
    <row r="220" customFormat="false" ht="15" hidden="false" customHeight="true" outlineLevel="0" collapsed="false">
      <c r="A220" s="13"/>
      <c r="B220" s="11"/>
      <c r="C220" s="13"/>
      <c r="D220" s="17" t="str">
        <f aca="false">IF(A220="","",SUMIF($A$2:$A$301,A220,$C$2:$C$301))</f>
        <v/>
      </c>
      <c r="E220" s="18" t="str">
        <f aca="false">IF(OR(A220="",D220="",D220=0),"",C220/D220)</f>
        <v/>
      </c>
      <c r="F220" s="17" t="str">
        <f aca="false">IFERROR(INDEX(商品資料!$H:$H,MATCH(A220,商品資料!$D:$D,0)),"")</f>
        <v/>
      </c>
      <c r="G220" s="17" t="str">
        <f aca="false">IF(OR(E220="",F220=""),"",ROUND(E220*F220,0))</f>
        <v/>
      </c>
    </row>
    <row r="221" customFormat="false" ht="15" hidden="false" customHeight="true" outlineLevel="0" collapsed="false">
      <c r="A221" s="13"/>
      <c r="B221" s="11"/>
      <c r="C221" s="13"/>
      <c r="D221" s="17" t="str">
        <f aca="false">IF(A221="","",SUMIF($A$2:$A$301,A221,$C$2:$C$301))</f>
        <v/>
      </c>
      <c r="E221" s="18" t="str">
        <f aca="false">IF(OR(A221="",D221="",D221=0),"",C221/D221)</f>
        <v/>
      </c>
      <c r="F221" s="17" t="str">
        <f aca="false">IFERROR(INDEX(商品資料!$H:$H,MATCH(A221,商品資料!$D:$D,0)),"")</f>
        <v/>
      </c>
      <c r="G221" s="17" t="str">
        <f aca="false">IF(OR(E221="",F221=""),"",ROUND(E221*F221,0))</f>
        <v/>
      </c>
    </row>
    <row r="222" customFormat="false" ht="15" hidden="false" customHeight="true" outlineLevel="0" collapsed="false">
      <c r="A222" s="13"/>
      <c r="B222" s="11"/>
      <c r="C222" s="13"/>
      <c r="D222" s="17" t="str">
        <f aca="false">IF(A222="","",SUMIF($A$2:$A$301,A222,$C$2:$C$301))</f>
        <v/>
      </c>
      <c r="E222" s="18" t="str">
        <f aca="false">IF(OR(A222="",D222="",D222=0),"",C222/D222)</f>
        <v/>
      </c>
      <c r="F222" s="17" t="str">
        <f aca="false">IFERROR(INDEX(商品資料!$H:$H,MATCH(A222,商品資料!$D:$D,0)),"")</f>
        <v/>
      </c>
      <c r="G222" s="17" t="str">
        <f aca="false">IF(OR(E222="",F222=""),"",ROUND(E222*F222,0))</f>
        <v/>
      </c>
    </row>
    <row r="223" customFormat="false" ht="15" hidden="false" customHeight="true" outlineLevel="0" collapsed="false">
      <c r="A223" s="13"/>
      <c r="B223" s="11"/>
      <c r="C223" s="13"/>
      <c r="D223" s="17" t="str">
        <f aca="false">IF(A223="","",SUMIF($A$2:$A$301,A223,$C$2:$C$301))</f>
        <v/>
      </c>
      <c r="E223" s="18" t="str">
        <f aca="false">IF(OR(A223="",D223="",D223=0),"",C223/D223)</f>
        <v/>
      </c>
      <c r="F223" s="17" t="str">
        <f aca="false">IFERROR(INDEX(商品資料!$H:$H,MATCH(A223,商品資料!$D:$D,0)),"")</f>
        <v/>
      </c>
      <c r="G223" s="17" t="str">
        <f aca="false">IF(OR(E223="",F223=""),"",ROUND(E223*F223,0))</f>
        <v/>
      </c>
    </row>
    <row r="224" customFormat="false" ht="15" hidden="false" customHeight="true" outlineLevel="0" collapsed="false">
      <c r="A224" s="13"/>
      <c r="B224" s="11"/>
      <c r="C224" s="13"/>
      <c r="D224" s="17" t="str">
        <f aca="false">IF(A224="","",SUMIF($A$2:$A$301,A224,$C$2:$C$301))</f>
        <v/>
      </c>
      <c r="E224" s="18" t="str">
        <f aca="false">IF(OR(A224="",D224="",D224=0),"",C224/D224)</f>
        <v/>
      </c>
      <c r="F224" s="17" t="str">
        <f aca="false">IFERROR(INDEX(商品資料!$H:$H,MATCH(A224,商品資料!$D:$D,0)),"")</f>
        <v/>
      </c>
      <c r="G224" s="17" t="str">
        <f aca="false">IF(OR(E224="",F224=""),"",ROUND(E224*F224,0))</f>
        <v/>
      </c>
    </row>
    <row r="225" customFormat="false" ht="15" hidden="false" customHeight="true" outlineLevel="0" collapsed="false">
      <c r="A225" s="13"/>
      <c r="B225" s="11"/>
      <c r="C225" s="13"/>
      <c r="D225" s="17" t="str">
        <f aca="false">IF(A225="","",SUMIF($A$2:$A$301,A225,$C$2:$C$301))</f>
        <v/>
      </c>
      <c r="E225" s="18" t="str">
        <f aca="false">IF(OR(A225="",D225="",D225=0),"",C225/D225)</f>
        <v/>
      </c>
      <c r="F225" s="17" t="str">
        <f aca="false">IFERROR(INDEX(商品資料!$H:$H,MATCH(A225,商品資料!$D:$D,0)),"")</f>
        <v/>
      </c>
      <c r="G225" s="17" t="str">
        <f aca="false">IF(OR(E225="",F225=""),"",ROUND(E225*F225,0))</f>
        <v/>
      </c>
    </row>
    <row r="226" customFormat="false" ht="15" hidden="false" customHeight="true" outlineLevel="0" collapsed="false">
      <c r="A226" s="13"/>
      <c r="B226" s="11"/>
      <c r="C226" s="13"/>
      <c r="D226" s="17" t="str">
        <f aca="false">IF(A226="","",SUMIF($A$2:$A$301,A226,$C$2:$C$301))</f>
        <v/>
      </c>
      <c r="E226" s="18" t="str">
        <f aca="false">IF(OR(A226="",D226="",D226=0),"",C226/D226)</f>
        <v/>
      </c>
      <c r="F226" s="17" t="str">
        <f aca="false">IFERROR(INDEX(商品資料!$H:$H,MATCH(A226,商品資料!$D:$D,0)),"")</f>
        <v/>
      </c>
      <c r="G226" s="17" t="str">
        <f aca="false">IF(OR(E226="",F226=""),"",ROUND(E226*F226,0))</f>
        <v/>
      </c>
    </row>
    <row r="227" customFormat="false" ht="15" hidden="false" customHeight="true" outlineLevel="0" collapsed="false">
      <c r="A227" s="13"/>
      <c r="B227" s="11"/>
      <c r="C227" s="13"/>
      <c r="D227" s="17" t="str">
        <f aca="false">IF(A227="","",SUMIF($A$2:$A$301,A227,$C$2:$C$301))</f>
        <v/>
      </c>
      <c r="E227" s="18" t="str">
        <f aca="false">IF(OR(A227="",D227="",D227=0),"",C227/D227)</f>
        <v/>
      </c>
      <c r="F227" s="17" t="str">
        <f aca="false">IFERROR(INDEX(商品資料!$H:$H,MATCH(A227,商品資料!$D:$D,0)),"")</f>
        <v/>
      </c>
      <c r="G227" s="17" t="str">
        <f aca="false">IF(OR(E227="",F227=""),"",ROUND(E227*F227,0))</f>
        <v/>
      </c>
    </row>
    <row r="228" customFormat="false" ht="15" hidden="false" customHeight="true" outlineLevel="0" collapsed="false">
      <c r="A228" s="13"/>
      <c r="B228" s="11"/>
      <c r="C228" s="13"/>
      <c r="D228" s="17" t="str">
        <f aca="false">IF(A228="","",SUMIF($A$2:$A$301,A228,$C$2:$C$301))</f>
        <v/>
      </c>
      <c r="E228" s="18" t="str">
        <f aca="false">IF(OR(A228="",D228="",D228=0),"",C228/D228)</f>
        <v/>
      </c>
      <c r="F228" s="17" t="str">
        <f aca="false">IFERROR(INDEX(商品資料!$H:$H,MATCH(A228,商品資料!$D:$D,0)),"")</f>
        <v/>
      </c>
      <c r="G228" s="17" t="str">
        <f aca="false">IF(OR(E228="",F228=""),"",ROUND(E228*F228,0))</f>
        <v/>
      </c>
    </row>
    <row r="229" customFormat="false" ht="15" hidden="false" customHeight="true" outlineLevel="0" collapsed="false">
      <c r="A229" s="13"/>
      <c r="B229" s="11"/>
      <c r="C229" s="13"/>
      <c r="D229" s="17" t="str">
        <f aca="false">IF(A229="","",SUMIF($A$2:$A$301,A229,$C$2:$C$301))</f>
        <v/>
      </c>
      <c r="E229" s="18" t="str">
        <f aca="false">IF(OR(A229="",D229="",D229=0),"",C229/D229)</f>
        <v/>
      </c>
      <c r="F229" s="17" t="str">
        <f aca="false">IFERROR(INDEX(商品資料!$H:$H,MATCH(A229,商品資料!$D:$D,0)),"")</f>
        <v/>
      </c>
      <c r="G229" s="17" t="str">
        <f aca="false">IF(OR(E229="",F229=""),"",ROUND(E229*F229,0))</f>
        <v/>
      </c>
    </row>
    <row r="230" customFormat="false" ht="15" hidden="false" customHeight="true" outlineLevel="0" collapsed="false">
      <c r="A230" s="13"/>
      <c r="B230" s="11"/>
      <c r="C230" s="13"/>
      <c r="D230" s="17" t="str">
        <f aca="false">IF(A230="","",SUMIF($A$2:$A$301,A230,$C$2:$C$301))</f>
        <v/>
      </c>
      <c r="E230" s="18" t="str">
        <f aca="false">IF(OR(A230="",D230="",D230=0),"",C230/D230)</f>
        <v/>
      </c>
      <c r="F230" s="17" t="str">
        <f aca="false">IFERROR(INDEX(商品資料!$H:$H,MATCH(A230,商品資料!$D:$D,0)),"")</f>
        <v/>
      </c>
      <c r="G230" s="17" t="str">
        <f aca="false">IF(OR(E230="",F230=""),"",ROUND(E230*F230,0))</f>
        <v/>
      </c>
    </row>
    <row r="231" customFormat="false" ht="15" hidden="false" customHeight="true" outlineLevel="0" collapsed="false">
      <c r="A231" s="13"/>
      <c r="B231" s="11"/>
      <c r="C231" s="13"/>
      <c r="D231" s="17" t="str">
        <f aca="false">IF(A231="","",SUMIF($A$2:$A$301,A231,$C$2:$C$301))</f>
        <v/>
      </c>
      <c r="E231" s="18" t="str">
        <f aca="false">IF(OR(A231="",D231="",D231=0),"",C231/D231)</f>
        <v/>
      </c>
      <c r="F231" s="17" t="str">
        <f aca="false">IFERROR(INDEX(商品資料!$H:$H,MATCH(A231,商品資料!$D:$D,0)),"")</f>
        <v/>
      </c>
      <c r="G231" s="17" t="str">
        <f aca="false">IF(OR(E231="",F231=""),"",ROUND(E231*F231,0))</f>
        <v/>
      </c>
    </row>
    <row r="232" customFormat="false" ht="15" hidden="false" customHeight="true" outlineLevel="0" collapsed="false">
      <c r="A232" s="13"/>
      <c r="B232" s="11"/>
      <c r="C232" s="13"/>
      <c r="D232" s="17" t="str">
        <f aca="false">IF(A232="","",SUMIF($A$2:$A$301,A232,$C$2:$C$301))</f>
        <v/>
      </c>
      <c r="E232" s="18" t="str">
        <f aca="false">IF(OR(A232="",D232="",D232=0),"",C232/D232)</f>
        <v/>
      </c>
      <c r="F232" s="17" t="str">
        <f aca="false">IFERROR(INDEX(商品資料!$H:$H,MATCH(A232,商品資料!$D:$D,0)),"")</f>
        <v/>
      </c>
      <c r="G232" s="17" t="str">
        <f aca="false">IF(OR(E232="",F232=""),"",ROUND(E232*F232,0))</f>
        <v/>
      </c>
    </row>
    <row r="233" customFormat="false" ht="15" hidden="false" customHeight="true" outlineLevel="0" collapsed="false">
      <c r="A233" s="13"/>
      <c r="B233" s="11"/>
      <c r="C233" s="13"/>
      <c r="D233" s="17" t="str">
        <f aca="false">IF(A233="","",SUMIF($A$2:$A$301,A233,$C$2:$C$301))</f>
        <v/>
      </c>
      <c r="E233" s="18" t="str">
        <f aca="false">IF(OR(A233="",D233="",D233=0),"",C233/D233)</f>
        <v/>
      </c>
      <c r="F233" s="17" t="str">
        <f aca="false">IFERROR(INDEX(商品資料!$H:$H,MATCH(A233,商品資料!$D:$D,0)),"")</f>
        <v/>
      </c>
      <c r="G233" s="17" t="str">
        <f aca="false">IF(OR(E233="",F233=""),"",ROUND(E233*F233,0))</f>
        <v/>
      </c>
    </row>
    <row r="234" customFormat="false" ht="15" hidden="false" customHeight="true" outlineLevel="0" collapsed="false">
      <c r="A234" s="13"/>
      <c r="B234" s="11"/>
      <c r="C234" s="13"/>
      <c r="D234" s="17" t="str">
        <f aca="false">IF(A234="","",SUMIF($A$2:$A$301,A234,$C$2:$C$301))</f>
        <v/>
      </c>
      <c r="E234" s="18" t="str">
        <f aca="false">IF(OR(A234="",D234="",D234=0),"",C234/D234)</f>
        <v/>
      </c>
      <c r="F234" s="17" t="str">
        <f aca="false">IFERROR(INDEX(商品資料!$H:$H,MATCH(A234,商品資料!$D:$D,0)),"")</f>
        <v/>
      </c>
      <c r="G234" s="17" t="str">
        <f aca="false">IF(OR(E234="",F234=""),"",ROUND(E234*F234,0))</f>
        <v/>
      </c>
    </row>
    <row r="235" customFormat="false" ht="15" hidden="false" customHeight="true" outlineLevel="0" collapsed="false">
      <c r="A235" s="13"/>
      <c r="B235" s="11"/>
      <c r="C235" s="13"/>
      <c r="D235" s="17" t="str">
        <f aca="false">IF(A235="","",SUMIF($A$2:$A$301,A235,$C$2:$C$301))</f>
        <v/>
      </c>
      <c r="E235" s="18" t="str">
        <f aca="false">IF(OR(A235="",D235="",D235=0),"",C235/D235)</f>
        <v/>
      </c>
      <c r="F235" s="17" t="str">
        <f aca="false">IFERROR(INDEX(商品資料!$H:$H,MATCH(A235,商品資料!$D:$D,0)),"")</f>
        <v/>
      </c>
      <c r="G235" s="17" t="str">
        <f aca="false">IF(OR(E235="",F235=""),"",ROUND(E235*F235,0))</f>
        <v/>
      </c>
    </row>
    <row r="236" customFormat="false" ht="15" hidden="false" customHeight="true" outlineLevel="0" collapsed="false">
      <c r="A236" s="13"/>
      <c r="B236" s="11"/>
      <c r="C236" s="13"/>
      <c r="D236" s="17" t="str">
        <f aca="false">IF(A236="","",SUMIF($A$2:$A$301,A236,$C$2:$C$301))</f>
        <v/>
      </c>
      <c r="E236" s="18" t="str">
        <f aca="false">IF(OR(A236="",D236="",D236=0),"",C236/D236)</f>
        <v/>
      </c>
      <c r="F236" s="17" t="str">
        <f aca="false">IFERROR(INDEX(商品資料!$H:$H,MATCH(A236,商品資料!$D:$D,0)),"")</f>
        <v/>
      </c>
      <c r="G236" s="17" t="str">
        <f aca="false">IF(OR(E236="",F236=""),"",ROUND(E236*F236,0))</f>
        <v/>
      </c>
    </row>
    <row r="237" customFormat="false" ht="15" hidden="false" customHeight="true" outlineLevel="0" collapsed="false">
      <c r="A237" s="13"/>
      <c r="B237" s="11"/>
      <c r="C237" s="13"/>
      <c r="D237" s="17" t="str">
        <f aca="false">IF(A237="","",SUMIF($A$2:$A$301,A237,$C$2:$C$301))</f>
        <v/>
      </c>
      <c r="E237" s="18" t="str">
        <f aca="false">IF(OR(A237="",D237="",D237=0),"",C237/D237)</f>
        <v/>
      </c>
      <c r="F237" s="17" t="str">
        <f aca="false">IFERROR(INDEX(商品資料!$H:$H,MATCH(A237,商品資料!$D:$D,0)),"")</f>
        <v/>
      </c>
      <c r="G237" s="17" t="str">
        <f aca="false">IF(OR(E237="",F237=""),"",ROUND(E237*F237,0))</f>
        <v/>
      </c>
    </row>
    <row r="238" customFormat="false" ht="15" hidden="false" customHeight="true" outlineLevel="0" collapsed="false">
      <c r="A238" s="13"/>
      <c r="B238" s="11"/>
      <c r="C238" s="13"/>
      <c r="D238" s="17" t="str">
        <f aca="false">IF(A238="","",SUMIF($A$2:$A$301,A238,$C$2:$C$301))</f>
        <v/>
      </c>
      <c r="E238" s="18" t="str">
        <f aca="false">IF(OR(A238="",D238="",D238=0),"",C238/D238)</f>
        <v/>
      </c>
      <c r="F238" s="17" t="str">
        <f aca="false">IFERROR(INDEX(商品資料!$H:$H,MATCH(A238,商品資料!$D:$D,0)),"")</f>
        <v/>
      </c>
      <c r="G238" s="17" t="str">
        <f aca="false">IF(OR(E238="",F238=""),"",ROUND(E238*F238,0))</f>
        <v/>
      </c>
    </row>
    <row r="239" customFormat="false" ht="15" hidden="false" customHeight="true" outlineLevel="0" collapsed="false">
      <c r="A239" s="13"/>
      <c r="B239" s="11"/>
      <c r="C239" s="13"/>
      <c r="D239" s="17" t="str">
        <f aca="false">IF(A239="","",SUMIF($A$2:$A$301,A239,$C$2:$C$301))</f>
        <v/>
      </c>
      <c r="E239" s="18" t="str">
        <f aca="false">IF(OR(A239="",D239="",D239=0),"",C239/D239)</f>
        <v/>
      </c>
      <c r="F239" s="17" t="str">
        <f aca="false">IFERROR(INDEX(商品資料!$H:$H,MATCH(A239,商品資料!$D:$D,0)),"")</f>
        <v/>
      </c>
      <c r="G239" s="17" t="str">
        <f aca="false">IF(OR(E239="",F239=""),"",ROUND(E239*F239,0))</f>
        <v/>
      </c>
    </row>
    <row r="240" customFormat="false" ht="15" hidden="false" customHeight="true" outlineLevel="0" collapsed="false">
      <c r="A240" s="13"/>
      <c r="B240" s="11"/>
      <c r="C240" s="13"/>
      <c r="D240" s="17" t="str">
        <f aca="false">IF(A240="","",SUMIF($A$2:$A$301,A240,$C$2:$C$301))</f>
        <v/>
      </c>
      <c r="E240" s="18" t="str">
        <f aca="false">IF(OR(A240="",D240="",D240=0),"",C240/D240)</f>
        <v/>
      </c>
      <c r="F240" s="17" t="str">
        <f aca="false">IFERROR(INDEX(商品資料!$H:$H,MATCH(A240,商品資料!$D:$D,0)),"")</f>
        <v/>
      </c>
      <c r="G240" s="17" t="str">
        <f aca="false">IF(OR(E240="",F240=""),"",ROUND(E240*F240,0))</f>
        <v/>
      </c>
    </row>
    <row r="241" customFormat="false" ht="15" hidden="false" customHeight="true" outlineLevel="0" collapsed="false">
      <c r="A241" s="13"/>
      <c r="B241" s="11"/>
      <c r="C241" s="13"/>
      <c r="D241" s="17" t="str">
        <f aca="false">IF(A241="","",SUMIF($A$2:$A$301,A241,$C$2:$C$301))</f>
        <v/>
      </c>
      <c r="E241" s="18" t="str">
        <f aca="false">IF(OR(A241="",D241="",D241=0),"",C241/D241)</f>
        <v/>
      </c>
      <c r="F241" s="17" t="str">
        <f aca="false">IFERROR(INDEX(商品資料!$H:$H,MATCH(A241,商品資料!$D:$D,0)),"")</f>
        <v/>
      </c>
      <c r="G241" s="17" t="str">
        <f aca="false">IF(OR(E241="",F241=""),"",ROUND(E241*F241,0))</f>
        <v/>
      </c>
    </row>
    <row r="242" customFormat="false" ht="15" hidden="false" customHeight="true" outlineLevel="0" collapsed="false">
      <c r="A242" s="13"/>
      <c r="B242" s="11"/>
      <c r="C242" s="13"/>
      <c r="D242" s="17" t="str">
        <f aca="false">IF(A242="","",SUMIF($A$2:$A$301,A242,$C$2:$C$301))</f>
        <v/>
      </c>
      <c r="E242" s="18" t="str">
        <f aca="false">IF(OR(A242="",D242="",D242=0),"",C242/D242)</f>
        <v/>
      </c>
      <c r="F242" s="17" t="str">
        <f aca="false">IFERROR(INDEX(商品資料!$H:$H,MATCH(A242,商品資料!$D:$D,0)),"")</f>
        <v/>
      </c>
      <c r="G242" s="17" t="str">
        <f aca="false">IF(OR(E242="",F242=""),"",ROUND(E242*F242,0))</f>
        <v/>
      </c>
    </row>
    <row r="243" customFormat="false" ht="15" hidden="false" customHeight="true" outlineLevel="0" collapsed="false">
      <c r="A243" s="13"/>
      <c r="B243" s="11"/>
      <c r="C243" s="13"/>
      <c r="D243" s="17" t="str">
        <f aca="false">IF(A243="","",SUMIF($A$2:$A$301,A243,$C$2:$C$301))</f>
        <v/>
      </c>
      <c r="E243" s="18" t="str">
        <f aca="false">IF(OR(A243="",D243="",D243=0),"",C243/D243)</f>
        <v/>
      </c>
      <c r="F243" s="17" t="str">
        <f aca="false">IFERROR(INDEX(商品資料!$H:$H,MATCH(A243,商品資料!$D:$D,0)),"")</f>
        <v/>
      </c>
      <c r="G243" s="17" t="str">
        <f aca="false">IF(OR(E243="",F243=""),"",ROUND(E243*F243,0))</f>
        <v/>
      </c>
    </row>
    <row r="244" customFormat="false" ht="15" hidden="false" customHeight="true" outlineLevel="0" collapsed="false">
      <c r="A244" s="13"/>
      <c r="B244" s="11"/>
      <c r="C244" s="13"/>
      <c r="D244" s="17" t="str">
        <f aca="false">IF(A244="","",SUMIF($A$2:$A$301,A244,$C$2:$C$301))</f>
        <v/>
      </c>
      <c r="E244" s="18" t="str">
        <f aca="false">IF(OR(A244="",D244="",D244=0),"",C244/D244)</f>
        <v/>
      </c>
      <c r="F244" s="17" t="str">
        <f aca="false">IFERROR(INDEX(商品資料!$H:$H,MATCH(A244,商品資料!$D:$D,0)),"")</f>
        <v/>
      </c>
      <c r="G244" s="17" t="str">
        <f aca="false">IF(OR(E244="",F244=""),"",ROUND(E244*F244,0))</f>
        <v/>
      </c>
    </row>
    <row r="245" customFormat="false" ht="15" hidden="false" customHeight="true" outlineLevel="0" collapsed="false">
      <c r="A245" s="13"/>
      <c r="B245" s="11"/>
      <c r="C245" s="13"/>
      <c r="D245" s="17" t="str">
        <f aca="false">IF(A245="","",SUMIF($A$2:$A$301,A245,$C$2:$C$301))</f>
        <v/>
      </c>
      <c r="E245" s="18" t="str">
        <f aca="false">IF(OR(A245="",D245="",D245=0),"",C245/D245)</f>
        <v/>
      </c>
      <c r="F245" s="17" t="str">
        <f aca="false">IFERROR(INDEX(商品資料!$H:$H,MATCH(A245,商品資料!$D:$D,0)),"")</f>
        <v/>
      </c>
      <c r="G245" s="17" t="str">
        <f aca="false">IF(OR(E245="",F245=""),"",ROUND(E245*F245,0))</f>
        <v/>
      </c>
    </row>
    <row r="246" customFormat="false" ht="15" hidden="false" customHeight="true" outlineLevel="0" collapsed="false">
      <c r="A246" s="13"/>
      <c r="B246" s="11"/>
      <c r="C246" s="13"/>
      <c r="D246" s="17" t="str">
        <f aca="false">IF(A246="","",SUMIF($A$2:$A$301,A246,$C$2:$C$301))</f>
        <v/>
      </c>
      <c r="E246" s="18" t="str">
        <f aca="false">IF(OR(A246="",D246="",D246=0),"",C246/D246)</f>
        <v/>
      </c>
      <c r="F246" s="17" t="str">
        <f aca="false">IFERROR(INDEX(商品資料!$H:$H,MATCH(A246,商品資料!$D:$D,0)),"")</f>
        <v/>
      </c>
      <c r="G246" s="17" t="str">
        <f aca="false">IF(OR(E246="",F246=""),"",ROUND(E246*F246,0))</f>
        <v/>
      </c>
    </row>
    <row r="247" customFormat="false" ht="15" hidden="false" customHeight="true" outlineLevel="0" collapsed="false">
      <c r="A247" s="13"/>
      <c r="B247" s="11"/>
      <c r="C247" s="13"/>
      <c r="D247" s="17" t="str">
        <f aca="false">IF(A247="","",SUMIF($A$2:$A$301,A247,$C$2:$C$301))</f>
        <v/>
      </c>
      <c r="E247" s="18" t="str">
        <f aca="false">IF(OR(A247="",D247="",D247=0),"",C247/D247)</f>
        <v/>
      </c>
      <c r="F247" s="17" t="str">
        <f aca="false">IFERROR(INDEX(商品資料!$H:$H,MATCH(A247,商品資料!$D:$D,0)),"")</f>
        <v/>
      </c>
      <c r="G247" s="17" t="str">
        <f aca="false">IF(OR(E247="",F247=""),"",ROUND(E247*F247,0))</f>
        <v/>
      </c>
    </row>
    <row r="248" customFormat="false" ht="15" hidden="false" customHeight="true" outlineLevel="0" collapsed="false">
      <c r="A248" s="13"/>
      <c r="B248" s="11"/>
      <c r="C248" s="13"/>
      <c r="D248" s="17" t="str">
        <f aca="false">IF(A248="","",SUMIF($A$2:$A$301,A248,$C$2:$C$301))</f>
        <v/>
      </c>
      <c r="E248" s="18" t="str">
        <f aca="false">IF(OR(A248="",D248="",D248=0),"",C248/D248)</f>
        <v/>
      </c>
      <c r="F248" s="17" t="str">
        <f aca="false">IFERROR(INDEX(商品資料!$H:$H,MATCH(A248,商品資料!$D:$D,0)),"")</f>
        <v/>
      </c>
      <c r="G248" s="17" t="str">
        <f aca="false">IF(OR(E248="",F248=""),"",ROUND(E248*F248,0))</f>
        <v/>
      </c>
    </row>
    <row r="249" customFormat="false" ht="15" hidden="false" customHeight="true" outlineLevel="0" collapsed="false">
      <c r="A249" s="13"/>
      <c r="B249" s="11"/>
      <c r="C249" s="13"/>
      <c r="D249" s="17" t="str">
        <f aca="false">IF(A249="","",SUMIF($A$2:$A$301,A249,$C$2:$C$301))</f>
        <v/>
      </c>
      <c r="E249" s="18" t="str">
        <f aca="false">IF(OR(A249="",D249="",D249=0),"",C249/D249)</f>
        <v/>
      </c>
      <c r="F249" s="17" t="str">
        <f aca="false">IFERROR(INDEX(商品資料!$H:$H,MATCH(A249,商品資料!$D:$D,0)),"")</f>
        <v/>
      </c>
      <c r="G249" s="17" t="str">
        <f aca="false">IF(OR(E249="",F249=""),"",ROUND(E249*F249,0))</f>
        <v/>
      </c>
    </row>
    <row r="250" customFormat="false" ht="15" hidden="false" customHeight="true" outlineLevel="0" collapsed="false">
      <c r="A250" s="13"/>
      <c r="B250" s="11"/>
      <c r="C250" s="13"/>
      <c r="D250" s="17" t="str">
        <f aca="false">IF(A250="","",SUMIF($A$2:$A$301,A250,$C$2:$C$301))</f>
        <v/>
      </c>
      <c r="E250" s="18" t="str">
        <f aca="false">IF(OR(A250="",D250="",D250=0),"",C250/D250)</f>
        <v/>
      </c>
      <c r="F250" s="17" t="str">
        <f aca="false">IFERROR(INDEX(商品資料!$H:$H,MATCH(A250,商品資料!$D:$D,0)),"")</f>
        <v/>
      </c>
      <c r="G250" s="17" t="str">
        <f aca="false">IF(OR(E250="",F250=""),"",ROUND(E250*F250,0))</f>
        <v/>
      </c>
    </row>
    <row r="251" customFormat="false" ht="15" hidden="false" customHeight="true" outlineLevel="0" collapsed="false">
      <c r="A251" s="13"/>
      <c r="B251" s="11"/>
      <c r="C251" s="13"/>
      <c r="D251" s="17" t="str">
        <f aca="false">IF(A251="","",SUMIF($A$2:$A$301,A251,$C$2:$C$301))</f>
        <v/>
      </c>
      <c r="E251" s="18" t="str">
        <f aca="false">IF(OR(A251="",D251="",D251=0),"",C251/D251)</f>
        <v/>
      </c>
      <c r="F251" s="17" t="str">
        <f aca="false">IFERROR(INDEX(商品資料!$H:$H,MATCH(A251,商品資料!$D:$D,0)),"")</f>
        <v/>
      </c>
      <c r="G251" s="17" t="str">
        <f aca="false">IF(OR(E251="",F251=""),"",ROUND(E251*F251,0))</f>
        <v/>
      </c>
    </row>
    <row r="252" customFormat="false" ht="15" hidden="false" customHeight="true" outlineLevel="0" collapsed="false">
      <c r="A252" s="13"/>
      <c r="B252" s="11"/>
      <c r="C252" s="13"/>
      <c r="D252" s="17" t="str">
        <f aca="false">IF(A252="","",SUMIF($A$2:$A$301,A252,$C$2:$C$301))</f>
        <v/>
      </c>
      <c r="E252" s="18" t="str">
        <f aca="false">IF(OR(A252="",D252="",D252=0),"",C252/D252)</f>
        <v/>
      </c>
      <c r="F252" s="17" t="str">
        <f aca="false">IFERROR(INDEX(商品資料!$H:$H,MATCH(A252,商品資料!$D:$D,0)),"")</f>
        <v/>
      </c>
      <c r="G252" s="17" t="str">
        <f aca="false">IF(OR(E252="",F252=""),"",ROUND(E252*F252,0))</f>
        <v/>
      </c>
    </row>
    <row r="253" customFormat="false" ht="15" hidden="false" customHeight="true" outlineLevel="0" collapsed="false">
      <c r="A253" s="13"/>
      <c r="B253" s="11"/>
      <c r="C253" s="13"/>
      <c r="D253" s="17" t="str">
        <f aca="false">IF(A253="","",SUMIF($A$2:$A$301,A253,$C$2:$C$301))</f>
        <v/>
      </c>
      <c r="E253" s="18" t="str">
        <f aca="false">IF(OR(A253="",D253="",D253=0),"",C253/D253)</f>
        <v/>
      </c>
      <c r="F253" s="17" t="str">
        <f aca="false">IFERROR(INDEX(商品資料!$H:$H,MATCH(A253,商品資料!$D:$D,0)),"")</f>
        <v/>
      </c>
      <c r="G253" s="17" t="str">
        <f aca="false">IF(OR(E253="",F253=""),"",ROUND(E253*F253,0))</f>
        <v/>
      </c>
    </row>
    <row r="254" customFormat="false" ht="15" hidden="false" customHeight="true" outlineLevel="0" collapsed="false">
      <c r="A254" s="13"/>
      <c r="B254" s="11"/>
      <c r="C254" s="13"/>
      <c r="D254" s="17" t="str">
        <f aca="false">IF(A254="","",SUMIF($A$2:$A$301,A254,$C$2:$C$301))</f>
        <v/>
      </c>
      <c r="E254" s="18" t="str">
        <f aca="false">IF(OR(A254="",D254="",D254=0),"",C254/D254)</f>
        <v/>
      </c>
      <c r="F254" s="17" t="str">
        <f aca="false">IFERROR(INDEX(商品資料!$H:$H,MATCH(A254,商品資料!$D:$D,0)),"")</f>
        <v/>
      </c>
      <c r="G254" s="17" t="str">
        <f aca="false">IF(OR(E254="",F254=""),"",ROUND(E254*F254,0))</f>
        <v/>
      </c>
    </row>
    <row r="255" customFormat="false" ht="15" hidden="false" customHeight="true" outlineLevel="0" collapsed="false">
      <c r="A255" s="13"/>
      <c r="B255" s="11"/>
      <c r="C255" s="13"/>
      <c r="D255" s="17" t="str">
        <f aca="false">IF(A255="","",SUMIF($A$2:$A$301,A255,$C$2:$C$301))</f>
        <v/>
      </c>
      <c r="E255" s="18" t="str">
        <f aca="false">IF(OR(A255="",D255="",D255=0),"",C255/D255)</f>
        <v/>
      </c>
      <c r="F255" s="17" t="str">
        <f aca="false">IFERROR(INDEX(商品資料!$H:$H,MATCH(A255,商品資料!$D:$D,0)),"")</f>
        <v/>
      </c>
      <c r="G255" s="17" t="str">
        <f aca="false">IF(OR(E255="",F255=""),"",ROUND(E255*F255,0))</f>
        <v/>
      </c>
    </row>
    <row r="256" customFormat="false" ht="15" hidden="false" customHeight="true" outlineLevel="0" collapsed="false">
      <c r="A256" s="13"/>
      <c r="B256" s="11"/>
      <c r="C256" s="13"/>
      <c r="D256" s="17" t="str">
        <f aca="false">IF(A256="","",SUMIF($A$2:$A$301,A256,$C$2:$C$301))</f>
        <v/>
      </c>
      <c r="E256" s="18" t="str">
        <f aca="false">IF(OR(A256="",D256="",D256=0),"",C256/D256)</f>
        <v/>
      </c>
      <c r="F256" s="17" t="str">
        <f aca="false">IFERROR(INDEX(商品資料!$H:$H,MATCH(A256,商品資料!$D:$D,0)),"")</f>
        <v/>
      </c>
      <c r="G256" s="17" t="str">
        <f aca="false">IF(OR(E256="",F256=""),"",ROUND(E256*F256,0))</f>
        <v/>
      </c>
    </row>
    <row r="257" customFormat="false" ht="15" hidden="false" customHeight="true" outlineLevel="0" collapsed="false">
      <c r="A257" s="13"/>
      <c r="B257" s="11"/>
      <c r="C257" s="13"/>
      <c r="D257" s="17" t="str">
        <f aca="false">IF(A257="","",SUMIF($A$2:$A$301,A257,$C$2:$C$301))</f>
        <v/>
      </c>
      <c r="E257" s="18" t="str">
        <f aca="false">IF(OR(A257="",D257="",D257=0),"",C257/D257)</f>
        <v/>
      </c>
      <c r="F257" s="17" t="str">
        <f aca="false">IFERROR(INDEX(商品資料!$H:$H,MATCH(A257,商品資料!$D:$D,0)),"")</f>
        <v/>
      </c>
      <c r="G257" s="17" t="str">
        <f aca="false">IF(OR(E257="",F257=""),"",ROUND(E257*F257,0))</f>
        <v/>
      </c>
    </row>
    <row r="258" customFormat="false" ht="15" hidden="false" customHeight="true" outlineLevel="0" collapsed="false">
      <c r="A258" s="13"/>
      <c r="B258" s="11"/>
      <c r="C258" s="13"/>
      <c r="D258" s="17" t="str">
        <f aca="false">IF(A258="","",SUMIF($A$2:$A$301,A258,$C$2:$C$301))</f>
        <v/>
      </c>
      <c r="E258" s="18" t="str">
        <f aca="false">IF(OR(A258="",D258="",D258=0),"",C258/D258)</f>
        <v/>
      </c>
      <c r="F258" s="17" t="str">
        <f aca="false">IFERROR(INDEX(商品資料!$H:$H,MATCH(A258,商品資料!$D:$D,0)),"")</f>
        <v/>
      </c>
      <c r="G258" s="17" t="str">
        <f aca="false">IF(OR(E258="",F258=""),"",ROUND(E258*F258,0))</f>
        <v/>
      </c>
    </row>
    <row r="259" customFormat="false" ht="15" hidden="false" customHeight="true" outlineLevel="0" collapsed="false">
      <c r="A259" s="13"/>
      <c r="B259" s="11"/>
      <c r="C259" s="13"/>
      <c r="D259" s="17" t="str">
        <f aca="false">IF(A259="","",SUMIF($A$2:$A$301,A259,$C$2:$C$301))</f>
        <v/>
      </c>
      <c r="E259" s="18" t="str">
        <f aca="false">IF(OR(A259="",D259="",D259=0),"",C259/D259)</f>
        <v/>
      </c>
      <c r="F259" s="17" t="str">
        <f aca="false">IFERROR(INDEX(商品資料!$H:$H,MATCH(A259,商品資料!$D:$D,0)),"")</f>
        <v/>
      </c>
      <c r="G259" s="17" t="str">
        <f aca="false">IF(OR(E259="",F259=""),"",ROUND(E259*F259,0))</f>
        <v/>
      </c>
    </row>
    <row r="260" customFormat="false" ht="15" hidden="false" customHeight="true" outlineLevel="0" collapsed="false">
      <c r="A260" s="13"/>
      <c r="B260" s="11"/>
      <c r="C260" s="13"/>
      <c r="D260" s="17" t="str">
        <f aca="false">IF(A260="","",SUMIF($A$2:$A$301,A260,$C$2:$C$301))</f>
        <v/>
      </c>
      <c r="E260" s="18" t="str">
        <f aca="false">IF(OR(A260="",D260="",D260=0),"",C260/D260)</f>
        <v/>
      </c>
      <c r="F260" s="17" t="str">
        <f aca="false">IFERROR(INDEX(商品資料!$H:$H,MATCH(A260,商品資料!$D:$D,0)),"")</f>
        <v/>
      </c>
      <c r="G260" s="17" t="str">
        <f aca="false">IF(OR(E260="",F260=""),"",ROUND(E260*F260,0))</f>
        <v/>
      </c>
    </row>
    <row r="261" customFormat="false" ht="15" hidden="false" customHeight="true" outlineLevel="0" collapsed="false">
      <c r="A261" s="13"/>
      <c r="B261" s="11"/>
      <c r="C261" s="13"/>
      <c r="D261" s="17" t="str">
        <f aca="false">IF(A261="","",SUMIF($A$2:$A$301,A261,$C$2:$C$301))</f>
        <v/>
      </c>
      <c r="E261" s="18" t="str">
        <f aca="false">IF(OR(A261="",D261="",D261=0),"",C261/D261)</f>
        <v/>
      </c>
      <c r="F261" s="17" t="str">
        <f aca="false">IFERROR(INDEX(商品資料!$H:$H,MATCH(A261,商品資料!$D:$D,0)),"")</f>
        <v/>
      </c>
      <c r="G261" s="17" t="str">
        <f aca="false">IF(OR(E261="",F261=""),"",ROUND(E261*F261,0))</f>
        <v/>
      </c>
    </row>
    <row r="262" customFormat="false" ht="15" hidden="false" customHeight="true" outlineLevel="0" collapsed="false">
      <c r="A262" s="13"/>
      <c r="B262" s="11"/>
      <c r="C262" s="13"/>
      <c r="D262" s="17" t="str">
        <f aca="false">IF(A262="","",SUMIF($A$2:$A$301,A262,$C$2:$C$301))</f>
        <v/>
      </c>
      <c r="E262" s="18" t="str">
        <f aca="false">IF(OR(A262="",D262="",D262=0),"",C262/D262)</f>
        <v/>
      </c>
      <c r="F262" s="17" t="str">
        <f aca="false">IFERROR(INDEX(商品資料!$H:$H,MATCH(A262,商品資料!$D:$D,0)),"")</f>
        <v/>
      </c>
      <c r="G262" s="17" t="str">
        <f aca="false">IF(OR(E262="",F262=""),"",ROUND(E262*F262,0))</f>
        <v/>
      </c>
    </row>
    <row r="263" customFormat="false" ht="15" hidden="false" customHeight="true" outlineLevel="0" collapsed="false">
      <c r="A263" s="13"/>
      <c r="B263" s="11"/>
      <c r="C263" s="13"/>
      <c r="D263" s="17" t="str">
        <f aca="false">IF(A263="","",SUMIF($A$2:$A$301,A263,$C$2:$C$301))</f>
        <v/>
      </c>
      <c r="E263" s="18" t="str">
        <f aca="false">IF(OR(A263="",D263="",D263=0),"",C263/D263)</f>
        <v/>
      </c>
      <c r="F263" s="17" t="str">
        <f aca="false">IFERROR(INDEX(商品資料!$H:$H,MATCH(A263,商品資料!$D:$D,0)),"")</f>
        <v/>
      </c>
      <c r="G263" s="17" t="str">
        <f aca="false">IF(OR(E263="",F263=""),"",ROUND(E263*F263,0))</f>
        <v/>
      </c>
    </row>
    <row r="264" customFormat="false" ht="15" hidden="false" customHeight="true" outlineLevel="0" collapsed="false">
      <c r="A264" s="13"/>
      <c r="B264" s="11"/>
      <c r="C264" s="13"/>
      <c r="D264" s="17" t="str">
        <f aca="false">IF(A264="","",SUMIF($A$2:$A$301,A264,$C$2:$C$301))</f>
        <v/>
      </c>
      <c r="E264" s="18" t="str">
        <f aca="false">IF(OR(A264="",D264="",D264=0),"",C264/D264)</f>
        <v/>
      </c>
      <c r="F264" s="17" t="str">
        <f aca="false">IFERROR(INDEX(商品資料!$H:$H,MATCH(A264,商品資料!$D:$D,0)),"")</f>
        <v/>
      </c>
      <c r="G264" s="17" t="str">
        <f aca="false">IF(OR(E264="",F264=""),"",ROUND(E264*F264,0))</f>
        <v/>
      </c>
    </row>
    <row r="265" customFormat="false" ht="15" hidden="false" customHeight="true" outlineLevel="0" collapsed="false">
      <c r="A265" s="13"/>
      <c r="B265" s="11"/>
      <c r="C265" s="13"/>
      <c r="D265" s="17" t="str">
        <f aca="false">IF(A265="","",SUMIF($A$2:$A$301,A265,$C$2:$C$301))</f>
        <v/>
      </c>
      <c r="E265" s="18" t="str">
        <f aca="false">IF(OR(A265="",D265="",D265=0),"",C265/D265)</f>
        <v/>
      </c>
      <c r="F265" s="17" t="str">
        <f aca="false">IFERROR(INDEX(商品資料!$H:$H,MATCH(A265,商品資料!$D:$D,0)),"")</f>
        <v/>
      </c>
      <c r="G265" s="17" t="str">
        <f aca="false">IF(OR(E265="",F265=""),"",ROUND(E265*F265,0))</f>
        <v/>
      </c>
    </row>
    <row r="266" customFormat="false" ht="15" hidden="false" customHeight="true" outlineLevel="0" collapsed="false">
      <c r="A266" s="13"/>
      <c r="B266" s="11"/>
      <c r="C266" s="13"/>
      <c r="D266" s="17" t="str">
        <f aca="false">IF(A266="","",SUMIF($A$2:$A$301,A266,$C$2:$C$301))</f>
        <v/>
      </c>
      <c r="E266" s="18" t="str">
        <f aca="false">IF(OR(A266="",D266="",D266=0),"",C266/D266)</f>
        <v/>
      </c>
      <c r="F266" s="17" t="str">
        <f aca="false">IFERROR(INDEX(商品資料!$H:$H,MATCH(A266,商品資料!$D:$D,0)),"")</f>
        <v/>
      </c>
      <c r="G266" s="17" t="str">
        <f aca="false">IF(OR(E266="",F266=""),"",ROUND(E266*F266,0))</f>
        <v/>
      </c>
    </row>
    <row r="267" customFormat="false" ht="15" hidden="false" customHeight="true" outlineLevel="0" collapsed="false">
      <c r="A267" s="13"/>
      <c r="B267" s="11"/>
      <c r="C267" s="13"/>
      <c r="D267" s="17" t="str">
        <f aca="false">IF(A267="","",SUMIF($A$2:$A$301,A267,$C$2:$C$301))</f>
        <v/>
      </c>
      <c r="E267" s="18" t="str">
        <f aca="false">IF(OR(A267="",D267="",D267=0),"",C267/D267)</f>
        <v/>
      </c>
      <c r="F267" s="17" t="str">
        <f aca="false">IFERROR(INDEX(商品資料!$H:$H,MATCH(A267,商品資料!$D:$D,0)),"")</f>
        <v/>
      </c>
      <c r="G267" s="17" t="str">
        <f aca="false">IF(OR(E267="",F267=""),"",ROUND(E267*F267,0))</f>
        <v/>
      </c>
    </row>
    <row r="268" customFormat="false" ht="15" hidden="false" customHeight="true" outlineLevel="0" collapsed="false">
      <c r="A268" s="13"/>
      <c r="B268" s="11"/>
      <c r="C268" s="13"/>
      <c r="D268" s="17" t="str">
        <f aca="false">IF(A268="","",SUMIF($A$2:$A$301,A268,$C$2:$C$301))</f>
        <v/>
      </c>
      <c r="E268" s="18" t="str">
        <f aca="false">IF(OR(A268="",D268="",D268=0),"",C268/D268)</f>
        <v/>
      </c>
      <c r="F268" s="17" t="str">
        <f aca="false">IFERROR(INDEX(商品資料!$H:$H,MATCH(A268,商品資料!$D:$D,0)),"")</f>
        <v/>
      </c>
      <c r="G268" s="17" t="str">
        <f aca="false">IF(OR(E268="",F268=""),"",ROUND(E268*F268,0))</f>
        <v/>
      </c>
    </row>
    <row r="269" customFormat="false" ht="15" hidden="false" customHeight="true" outlineLevel="0" collapsed="false">
      <c r="A269" s="13"/>
      <c r="B269" s="11"/>
      <c r="C269" s="13"/>
      <c r="D269" s="17" t="str">
        <f aca="false">IF(A269="","",SUMIF($A$2:$A$301,A269,$C$2:$C$301))</f>
        <v/>
      </c>
      <c r="E269" s="18" t="str">
        <f aca="false">IF(OR(A269="",D269="",D269=0),"",C269/D269)</f>
        <v/>
      </c>
      <c r="F269" s="17" t="str">
        <f aca="false">IFERROR(INDEX(商品資料!$H:$H,MATCH(A269,商品資料!$D:$D,0)),"")</f>
        <v/>
      </c>
      <c r="G269" s="17" t="str">
        <f aca="false">IF(OR(E269="",F269=""),"",ROUND(E269*F269,0))</f>
        <v/>
      </c>
    </row>
    <row r="270" customFormat="false" ht="15" hidden="false" customHeight="true" outlineLevel="0" collapsed="false">
      <c r="A270" s="13"/>
      <c r="B270" s="11"/>
      <c r="C270" s="13"/>
      <c r="D270" s="17" t="str">
        <f aca="false">IF(A270="","",SUMIF($A$2:$A$301,A270,$C$2:$C$301))</f>
        <v/>
      </c>
      <c r="E270" s="18" t="str">
        <f aca="false">IF(OR(A270="",D270="",D270=0),"",C270/D270)</f>
        <v/>
      </c>
      <c r="F270" s="17" t="str">
        <f aca="false">IFERROR(INDEX(商品資料!$H:$H,MATCH(A270,商品資料!$D:$D,0)),"")</f>
        <v/>
      </c>
      <c r="G270" s="17" t="str">
        <f aca="false">IF(OR(E270="",F270=""),"",ROUND(E270*F270,0))</f>
        <v/>
      </c>
    </row>
    <row r="271" customFormat="false" ht="15" hidden="false" customHeight="true" outlineLevel="0" collapsed="false">
      <c r="A271" s="13"/>
      <c r="B271" s="11"/>
      <c r="C271" s="13"/>
      <c r="D271" s="17" t="str">
        <f aca="false">IF(A271="","",SUMIF($A$2:$A$301,A271,$C$2:$C$301))</f>
        <v/>
      </c>
      <c r="E271" s="18" t="str">
        <f aca="false">IF(OR(A271="",D271="",D271=0),"",C271/D271)</f>
        <v/>
      </c>
      <c r="F271" s="17" t="str">
        <f aca="false">IFERROR(INDEX(商品資料!$H:$H,MATCH(A271,商品資料!$D:$D,0)),"")</f>
        <v/>
      </c>
      <c r="G271" s="17" t="str">
        <f aca="false">IF(OR(E271="",F271=""),"",ROUND(E271*F271,0))</f>
        <v/>
      </c>
    </row>
    <row r="272" customFormat="false" ht="15" hidden="false" customHeight="true" outlineLevel="0" collapsed="false">
      <c r="A272" s="13"/>
      <c r="B272" s="11"/>
      <c r="C272" s="13"/>
      <c r="D272" s="17" t="str">
        <f aca="false">IF(A272="","",SUMIF($A$2:$A$301,A272,$C$2:$C$301))</f>
        <v/>
      </c>
      <c r="E272" s="18" t="str">
        <f aca="false">IF(OR(A272="",D272="",D272=0),"",C272/D272)</f>
        <v/>
      </c>
      <c r="F272" s="17" t="str">
        <f aca="false">IFERROR(INDEX(商品資料!$H:$H,MATCH(A272,商品資料!$D:$D,0)),"")</f>
        <v/>
      </c>
      <c r="G272" s="17" t="str">
        <f aca="false">IF(OR(E272="",F272=""),"",ROUND(E272*F272,0))</f>
        <v/>
      </c>
    </row>
    <row r="273" customFormat="false" ht="15" hidden="false" customHeight="true" outlineLevel="0" collapsed="false">
      <c r="A273" s="13"/>
      <c r="B273" s="11"/>
      <c r="C273" s="13"/>
      <c r="D273" s="17" t="str">
        <f aca="false">IF(A273="","",SUMIF($A$2:$A$301,A273,$C$2:$C$301))</f>
        <v/>
      </c>
      <c r="E273" s="18" t="str">
        <f aca="false">IF(OR(A273="",D273="",D273=0),"",C273/D273)</f>
        <v/>
      </c>
      <c r="F273" s="17" t="str">
        <f aca="false">IFERROR(INDEX(商品資料!$H:$H,MATCH(A273,商品資料!$D:$D,0)),"")</f>
        <v/>
      </c>
      <c r="G273" s="17" t="str">
        <f aca="false">IF(OR(E273="",F273=""),"",ROUND(E273*F273,0))</f>
        <v/>
      </c>
    </row>
    <row r="274" customFormat="false" ht="15" hidden="false" customHeight="true" outlineLevel="0" collapsed="false">
      <c r="A274" s="13"/>
      <c r="B274" s="11"/>
      <c r="C274" s="13"/>
      <c r="D274" s="17" t="str">
        <f aca="false">IF(A274="","",SUMIF($A$2:$A$301,A274,$C$2:$C$301))</f>
        <v/>
      </c>
      <c r="E274" s="18" t="str">
        <f aca="false">IF(OR(A274="",D274="",D274=0),"",C274/D274)</f>
        <v/>
      </c>
      <c r="F274" s="17" t="str">
        <f aca="false">IFERROR(INDEX(商品資料!$H:$H,MATCH(A274,商品資料!$D:$D,0)),"")</f>
        <v/>
      </c>
      <c r="G274" s="17" t="str">
        <f aca="false">IF(OR(E274="",F274=""),"",ROUND(E274*F274,0))</f>
        <v/>
      </c>
    </row>
    <row r="275" customFormat="false" ht="15" hidden="false" customHeight="true" outlineLevel="0" collapsed="false">
      <c r="A275" s="13"/>
      <c r="B275" s="11"/>
      <c r="C275" s="13"/>
      <c r="D275" s="17" t="str">
        <f aca="false">IF(A275="","",SUMIF($A$2:$A$301,A275,$C$2:$C$301))</f>
        <v/>
      </c>
      <c r="E275" s="18" t="str">
        <f aca="false">IF(OR(A275="",D275="",D275=0),"",C275/D275)</f>
        <v/>
      </c>
      <c r="F275" s="17" t="str">
        <f aca="false">IFERROR(INDEX(商品資料!$H:$H,MATCH(A275,商品資料!$D:$D,0)),"")</f>
        <v/>
      </c>
      <c r="G275" s="17" t="str">
        <f aca="false">IF(OR(E275="",F275=""),"",ROUND(E275*F275,0))</f>
        <v/>
      </c>
    </row>
    <row r="276" customFormat="false" ht="15" hidden="false" customHeight="true" outlineLevel="0" collapsed="false">
      <c r="A276" s="13"/>
      <c r="B276" s="11"/>
      <c r="C276" s="13"/>
      <c r="D276" s="17" t="str">
        <f aca="false">IF(A276="","",SUMIF($A$2:$A$301,A276,$C$2:$C$301))</f>
        <v/>
      </c>
      <c r="E276" s="18" t="str">
        <f aca="false">IF(OR(A276="",D276="",D276=0),"",C276/D276)</f>
        <v/>
      </c>
      <c r="F276" s="17" t="str">
        <f aca="false">IFERROR(INDEX(商品資料!$H:$H,MATCH(A276,商品資料!$D:$D,0)),"")</f>
        <v/>
      </c>
      <c r="G276" s="17" t="str">
        <f aca="false">IF(OR(E276="",F276=""),"",ROUND(E276*F276,0))</f>
        <v/>
      </c>
    </row>
    <row r="277" customFormat="false" ht="15" hidden="false" customHeight="true" outlineLevel="0" collapsed="false">
      <c r="A277" s="13"/>
      <c r="B277" s="11"/>
      <c r="C277" s="13"/>
      <c r="D277" s="17" t="str">
        <f aca="false">IF(A277="","",SUMIF($A$2:$A$301,A277,$C$2:$C$301))</f>
        <v/>
      </c>
      <c r="E277" s="18" t="str">
        <f aca="false">IF(OR(A277="",D277="",D277=0),"",C277/D277)</f>
        <v/>
      </c>
      <c r="F277" s="17" t="str">
        <f aca="false">IFERROR(INDEX(商品資料!$H:$H,MATCH(A277,商品資料!$D:$D,0)),"")</f>
        <v/>
      </c>
      <c r="G277" s="17" t="str">
        <f aca="false">IF(OR(E277="",F277=""),"",ROUND(E277*F277,0))</f>
        <v/>
      </c>
    </row>
    <row r="278" customFormat="false" ht="15" hidden="false" customHeight="true" outlineLevel="0" collapsed="false">
      <c r="A278" s="13"/>
      <c r="B278" s="11"/>
      <c r="C278" s="13"/>
      <c r="D278" s="17" t="str">
        <f aca="false">IF(A278="","",SUMIF($A$2:$A$301,A278,$C$2:$C$301))</f>
        <v/>
      </c>
      <c r="E278" s="18" t="str">
        <f aca="false">IF(OR(A278="",D278="",D278=0),"",C278/D278)</f>
        <v/>
      </c>
      <c r="F278" s="17" t="str">
        <f aca="false">IFERROR(INDEX(商品資料!$H:$H,MATCH(A278,商品資料!$D:$D,0)),"")</f>
        <v/>
      </c>
      <c r="G278" s="17" t="str">
        <f aca="false">IF(OR(E278="",F278=""),"",ROUND(E278*F278,0))</f>
        <v/>
      </c>
    </row>
    <row r="279" customFormat="false" ht="15" hidden="false" customHeight="true" outlineLevel="0" collapsed="false">
      <c r="A279" s="13"/>
      <c r="B279" s="11"/>
      <c r="C279" s="13"/>
      <c r="D279" s="17" t="str">
        <f aca="false">IF(A279="","",SUMIF($A$2:$A$301,A279,$C$2:$C$301))</f>
        <v/>
      </c>
      <c r="E279" s="18" t="str">
        <f aca="false">IF(OR(A279="",D279="",D279=0),"",C279/D279)</f>
        <v/>
      </c>
      <c r="F279" s="17" t="str">
        <f aca="false">IFERROR(INDEX(商品資料!$H:$H,MATCH(A279,商品資料!$D:$D,0)),"")</f>
        <v/>
      </c>
      <c r="G279" s="17" t="str">
        <f aca="false">IF(OR(E279="",F279=""),"",ROUND(E279*F279,0))</f>
        <v/>
      </c>
    </row>
    <row r="280" customFormat="false" ht="15" hidden="false" customHeight="true" outlineLevel="0" collapsed="false">
      <c r="A280" s="13"/>
      <c r="B280" s="11"/>
      <c r="C280" s="13"/>
      <c r="D280" s="17" t="str">
        <f aca="false">IF(A280="","",SUMIF($A$2:$A$301,A280,$C$2:$C$301))</f>
        <v/>
      </c>
      <c r="E280" s="18" t="str">
        <f aca="false">IF(OR(A280="",D280="",D280=0),"",C280/D280)</f>
        <v/>
      </c>
      <c r="F280" s="17" t="str">
        <f aca="false">IFERROR(INDEX(商品資料!$H:$H,MATCH(A280,商品資料!$D:$D,0)),"")</f>
        <v/>
      </c>
      <c r="G280" s="17" t="str">
        <f aca="false">IF(OR(E280="",F280=""),"",ROUND(E280*F280,0))</f>
        <v/>
      </c>
    </row>
    <row r="281" customFormat="false" ht="15" hidden="false" customHeight="true" outlineLevel="0" collapsed="false">
      <c r="A281" s="13"/>
      <c r="B281" s="11"/>
      <c r="C281" s="13"/>
      <c r="D281" s="17" t="str">
        <f aca="false">IF(A281="","",SUMIF($A$2:$A$301,A281,$C$2:$C$301))</f>
        <v/>
      </c>
      <c r="E281" s="18" t="str">
        <f aca="false">IF(OR(A281="",D281="",D281=0),"",C281/D281)</f>
        <v/>
      </c>
      <c r="F281" s="17" t="str">
        <f aca="false">IFERROR(INDEX(商品資料!$H:$H,MATCH(A281,商品資料!$D:$D,0)),"")</f>
        <v/>
      </c>
      <c r="G281" s="17" t="str">
        <f aca="false">IF(OR(E281="",F281=""),"",ROUND(E281*F281,0))</f>
        <v/>
      </c>
    </row>
    <row r="282" customFormat="false" ht="15" hidden="false" customHeight="true" outlineLevel="0" collapsed="false">
      <c r="A282" s="13"/>
      <c r="B282" s="11"/>
      <c r="C282" s="13"/>
      <c r="D282" s="17" t="str">
        <f aca="false">IF(A282="","",SUMIF($A$2:$A$301,A282,$C$2:$C$301))</f>
        <v/>
      </c>
      <c r="E282" s="18" t="str">
        <f aca="false">IF(OR(A282="",D282="",D282=0),"",C282/D282)</f>
        <v/>
      </c>
      <c r="F282" s="17" t="str">
        <f aca="false">IFERROR(INDEX(商品資料!$H:$H,MATCH(A282,商品資料!$D:$D,0)),"")</f>
        <v/>
      </c>
      <c r="G282" s="17" t="str">
        <f aca="false">IF(OR(E282="",F282=""),"",ROUND(E282*F282,0))</f>
        <v/>
      </c>
    </row>
    <row r="283" customFormat="false" ht="15" hidden="false" customHeight="true" outlineLevel="0" collapsed="false">
      <c r="A283" s="13"/>
      <c r="B283" s="11"/>
      <c r="C283" s="13"/>
      <c r="D283" s="17" t="str">
        <f aca="false">IF(A283="","",SUMIF($A$2:$A$301,A283,$C$2:$C$301))</f>
        <v/>
      </c>
      <c r="E283" s="18" t="str">
        <f aca="false">IF(OR(A283="",D283="",D283=0),"",C283/D283)</f>
        <v/>
      </c>
      <c r="F283" s="17" t="str">
        <f aca="false">IFERROR(INDEX(商品資料!$H:$H,MATCH(A283,商品資料!$D:$D,0)),"")</f>
        <v/>
      </c>
      <c r="G283" s="17" t="str">
        <f aca="false">IF(OR(E283="",F283=""),"",ROUND(E283*F283,0))</f>
        <v/>
      </c>
    </row>
    <row r="284" customFormat="false" ht="15" hidden="false" customHeight="true" outlineLevel="0" collapsed="false">
      <c r="A284" s="13"/>
      <c r="B284" s="11"/>
      <c r="C284" s="13"/>
      <c r="D284" s="17" t="str">
        <f aca="false">IF(A284="","",SUMIF($A$2:$A$301,A284,$C$2:$C$301))</f>
        <v/>
      </c>
      <c r="E284" s="18" t="str">
        <f aca="false">IF(OR(A284="",D284="",D284=0),"",C284/D284)</f>
        <v/>
      </c>
      <c r="F284" s="17" t="str">
        <f aca="false">IFERROR(INDEX(商品資料!$H:$H,MATCH(A284,商品資料!$D:$D,0)),"")</f>
        <v/>
      </c>
      <c r="G284" s="17" t="str">
        <f aca="false">IF(OR(E284="",F284=""),"",ROUND(E284*F284,0))</f>
        <v/>
      </c>
    </row>
    <row r="285" customFormat="false" ht="15" hidden="false" customHeight="true" outlineLevel="0" collapsed="false">
      <c r="A285" s="13"/>
      <c r="B285" s="11"/>
      <c r="C285" s="13"/>
      <c r="D285" s="17" t="str">
        <f aca="false">IF(A285="","",SUMIF($A$2:$A$301,A285,$C$2:$C$301))</f>
        <v/>
      </c>
      <c r="E285" s="18" t="str">
        <f aca="false">IF(OR(A285="",D285="",D285=0),"",C285/D285)</f>
        <v/>
      </c>
      <c r="F285" s="17" t="str">
        <f aca="false">IFERROR(INDEX(商品資料!$H:$H,MATCH(A285,商品資料!$D:$D,0)),"")</f>
        <v/>
      </c>
      <c r="G285" s="17" t="str">
        <f aca="false">IF(OR(E285="",F285=""),"",ROUND(E285*F285,0))</f>
        <v/>
      </c>
    </row>
    <row r="286" customFormat="false" ht="15" hidden="false" customHeight="true" outlineLevel="0" collapsed="false">
      <c r="A286" s="13"/>
      <c r="B286" s="11"/>
      <c r="C286" s="13"/>
      <c r="D286" s="17" t="str">
        <f aca="false">IF(A286="","",SUMIF($A$2:$A$301,A286,$C$2:$C$301))</f>
        <v/>
      </c>
      <c r="E286" s="18" t="str">
        <f aca="false">IF(OR(A286="",D286="",D286=0),"",C286/D286)</f>
        <v/>
      </c>
      <c r="F286" s="17" t="str">
        <f aca="false">IFERROR(INDEX(商品資料!$H:$H,MATCH(A286,商品資料!$D:$D,0)),"")</f>
        <v/>
      </c>
      <c r="G286" s="17" t="str">
        <f aca="false">IF(OR(E286="",F286=""),"",ROUND(E286*F286,0))</f>
        <v/>
      </c>
    </row>
    <row r="287" customFormat="false" ht="15" hidden="false" customHeight="true" outlineLevel="0" collapsed="false">
      <c r="A287" s="13"/>
      <c r="B287" s="11"/>
      <c r="C287" s="13"/>
      <c r="D287" s="17" t="str">
        <f aca="false">IF(A287="","",SUMIF($A$2:$A$301,A287,$C$2:$C$301))</f>
        <v/>
      </c>
      <c r="E287" s="18" t="str">
        <f aca="false">IF(OR(A287="",D287="",D287=0),"",C287/D287)</f>
        <v/>
      </c>
      <c r="F287" s="17" t="str">
        <f aca="false">IFERROR(INDEX(商品資料!$H:$H,MATCH(A287,商品資料!$D:$D,0)),"")</f>
        <v/>
      </c>
      <c r="G287" s="17" t="str">
        <f aca="false">IF(OR(E287="",F287=""),"",ROUND(E287*F287,0))</f>
        <v/>
      </c>
    </row>
    <row r="288" customFormat="false" ht="15" hidden="false" customHeight="true" outlineLevel="0" collapsed="false">
      <c r="A288" s="13"/>
      <c r="B288" s="11"/>
      <c r="C288" s="13"/>
      <c r="D288" s="17" t="str">
        <f aca="false">IF(A288="","",SUMIF($A$2:$A$301,A288,$C$2:$C$301))</f>
        <v/>
      </c>
      <c r="E288" s="18" t="str">
        <f aca="false">IF(OR(A288="",D288="",D288=0),"",C288/D288)</f>
        <v/>
      </c>
      <c r="F288" s="17" t="str">
        <f aca="false">IFERROR(INDEX(商品資料!$H:$H,MATCH(A288,商品資料!$D:$D,0)),"")</f>
        <v/>
      </c>
      <c r="G288" s="17" t="str">
        <f aca="false">IF(OR(E288="",F288=""),"",ROUND(E288*F288,0))</f>
        <v/>
      </c>
    </row>
    <row r="289" customFormat="false" ht="15" hidden="false" customHeight="true" outlineLevel="0" collapsed="false">
      <c r="A289" s="13"/>
      <c r="B289" s="11"/>
      <c r="C289" s="13"/>
      <c r="D289" s="17" t="str">
        <f aca="false">IF(A289="","",SUMIF($A$2:$A$301,A289,$C$2:$C$301))</f>
        <v/>
      </c>
      <c r="E289" s="18" t="str">
        <f aca="false">IF(OR(A289="",D289="",D289=0),"",C289/D289)</f>
        <v/>
      </c>
      <c r="F289" s="17" t="str">
        <f aca="false">IFERROR(INDEX(商品資料!$H:$H,MATCH(A289,商品資料!$D:$D,0)),"")</f>
        <v/>
      </c>
      <c r="G289" s="17" t="str">
        <f aca="false">IF(OR(E289="",F289=""),"",ROUND(E289*F289,0))</f>
        <v/>
      </c>
    </row>
    <row r="290" customFormat="false" ht="15" hidden="false" customHeight="true" outlineLevel="0" collapsed="false">
      <c r="A290" s="13"/>
      <c r="B290" s="11"/>
      <c r="C290" s="13"/>
      <c r="D290" s="17" t="str">
        <f aca="false">IF(A290="","",SUMIF($A$2:$A$301,A290,$C$2:$C$301))</f>
        <v/>
      </c>
      <c r="E290" s="18" t="str">
        <f aca="false">IF(OR(A290="",D290="",D290=0),"",C290/D290)</f>
        <v/>
      </c>
      <c r="F290" s="17" t="str">
        <f aca="false">IFERROR(INDEX(商品資料!$H:$H,MATCH(A290,商品資料!$D:$D,0)),"")</f>
        <v/>
      </c>
      <c r="G290" s="17" t="str">
        <f aca="false">IF(OR(E290="",F290=""),"",ROUND(E290*F290,0))</f>
        <v/>
      </c>
    </row>
    <row r="291" customFormat="false" ht="15" hidden="false" customHeight="true" outlineLevel="0" collapsed="false">
      <c r="A291" s="13"/>
      <c r="B291" s="11"/>
      <c r="C291" s="13"/>
      <c r="D291" s="17" t="str">
        <f aca="false">IF(A291="","",SUMIF($A$2:$A$301,A291,$C$2:$C$301))</f>
        <v/>
      </c>
      <c r="E291" s="18" t="str">
        <f aca="false">IF(OR(A291="",D291="",D291=0),"",C291/D291)</f>
        <v/>
      </c>
      <c r="F291" s="17" t="str">
        <f aca="false">IFERROR(INDEX(商品資料!$H:$H,MATCH(A291,商品資料!$D:$D,0)),"")</f>
        <v/>
      </c>
      <c r="G291" s="17" t="str">
        <f aca="false">IF(OR(E291="",F291=""),"",ROUND(E291*F291,0))</f>
        <v/>
      </c>
    </row>
    <row r="292" customFormat="false" ht="15" hidden="false" customHeight="true" outlineLevel="0" collapsed="false">
      <c r="A292" s="13"/>
      <c r="B292" s="11"/>
      <c r="C292" s="13"/>
      <c r="D292" s="17" t="str">
        <f aca="false">IF(A292="","",SUMIF($A$2:$A$301,A292,$C$2:$C$301))</f>
        <v/>
      </c>
      <c r="E292" s="18" t="str">
        <f aca="false">IF(OR(A292="",D292="",D292=0),"",C292/D292)</f>
        <v/>
      </c>
      <c r="F292" s="17" t="str">
        <f aca="false">IFERROR(INDEX(商品資料!$H:$H,MATCH(A292,商品資料!$D:$D,0)),"")</f>
        <v/>
      </c>
      <c r="G292" s="17" t="str">
        <f aca="false">IF(OR(E292="",F292=""),"",ROUND(E292*F292,0))</f>
        <v/>
      </c>
    </row>
    <row r="293" customFormat="false" ht="15" hidden="false" customHeight="true" outlineLevel="0" collapsed="false">
      <c r="A293" s="13"/>
      <c r="B293" s="11"/>
      <c r="C293" s="13"/>
      <c r="D293" s="17" t="str">
        <f aca="false">IF(A293="","",SUMIF($A$2:$A$301,A293,$C$2:$C$301))</f>
        <v/>
      </c>
      <c r="E293" s="18" t="str">
        <f aca="false">IF(OR(A293="",D293="",D293=0),"",C293/D293)</f>
        <v/>
      </c>
      <c r="F293" s="17" t="str">
        <f aca="false">IFERROR(INDEX(商品資料!$H:$H,MATCH(A293,商品資料!$D:$D,0)),"")</f>
        <v/>
      </c>
      <c r="G293" s="17" t="str">
        <f aca="false">IF(OR(E293="",F293=""),"",ROUND(E293*F293,0))</f>
        <v/>
      </c>
    </row>
    <row r="294" customFormat="false" ht="15" hidden="false" customHeight="true" outlineLevel="0" collapsed="false">
      <c r="A294" s="13"/>
      <c r="B294" s="11"/>
      <c r="C294" s="13"/>
      <c r="D294" s="17" t="str">
        <f aca="false">IF(A294="","",SUMIF($A$2:$A$301,A294,$C$2:$C$301))</f>
        <v/>
      </c>
      <c r="E294" s="18" t="str">
        <f aca="false">IF(OR(A294="",D294="",D294=0),"",C294/D294)</f>
        <v/>
      </c>
      <c r="F294" s="17" t="str">
        <f aca="false">IFERROR(INDEX(商品資料!$H:$H,MATCH(A294,商品資料!$D:$D,0)),"")</f>
        <v/>
      </c>
      <c r="G294" s="17" t="str">
        <f aca="false">IF(OR(E294="",F294=""),"",ROUND(E294*F294,0))</f>
        <v/>
      </c>
    </row>
    <row r="295" customFormat="false" ht="15" hidden="false" customHeight="true" outlineLevel="0" collapsed="false">
      <c r="A295" s="13"/>
      <c r="B295" s="11"/>
      <c r="C295" s="13"/>
      <c r="D295" s="17" t="str">
        <f aca="false">IF(A295="","",SUMIF($A$2:$A$301,A295,$C$2:$C$301))</f>
        <v/>
      </c>
      <c r="E295" s="18" t="str">
        <f aca="false">IF(OR(A295="",D295="",D295=0),"",C295/D295)</f>
        <v/>
      </c>
      <c r="F295" s="17" t="str">
        <f aca="false">IFERROR(INDEX(商品資料!$H:$H,MATCH(A295,商品資料!$D:$D,0)),"")</f>
        <v/>
      </c>
      <c r="G295" s="17" t="str">
        <f aca="false">IF(OR(E295="",F295=""),"",ROUND(E295*F295,0))</f>
        <v/>
      </c>
    </row>
    <row r="296" customFormat="false" ht="15" hidden="false" customHeight="true" outlineLevel="0" collapsed="false">
      <c r="A296" s="13"/>
      <c r="B296" s="11"/>
      <c r="C296" s="13"/>
      <c r="D296" s="17" t="str">
        <f aca="false">IF(A296="","",SUMIF($A$2:$A$301,A296,$C$2:$C$301))</f>
        <v/>
      </c>
      <c r="E296" s="18" t="str">
        <f aca="false">IF(OR(A296="",D296="",D296=0),"",C296/D296)</f>
        <v/>
      </c>
      <c r="F296" s="17" t="str">
        <f aca="false">IFERROR(INDEX(商品資料!$H:$H,MATCH(A296,商品資料!$D:$D,0)),"")</f>
        <v/>
      </c>
      <c r="G296" s="17" t="str">
        <f aca="false">IF(OR(E296="",F296=""),"",ROUND(E296*F296,0))</f>
        <v/>
      </c>
    </row>
    <row r="297" customFormat="false" ht="15" hidden="false" customHeight="true" outlineLevel="0" collapsed="false">
      <c r="A297" s="13"/>
      <c r="B297" s="11"/>
      <c r="C297" s="13"/>
      <c r="D297" s="17" t="str">
        <f aca="false">IF(A297="","",SUMIF($A$2:$A$301,A297,$C$2:$C$301))</f>
        <v/>
      </c>
      <c r="E297" s="18" t="str">
        <f aca="false">IF(OR(A297="",D297="",D297=0),"",C297/D297)</f>
        <v/>
      </c>
      <c r="F297" s="17" t="str">
        <f aca="false">IFERROR(INDEX(商品資料!$H:$H,MATCH(A297,商品資料!$D:$D,0)),"")</f>
        <v/>
      </c>
      <c r="G297" s="17" t="str">
        <f aca="false">IF(OR(E297="",F297=""),"",ROUND(E297*F297,0))</f>
        <v/>
      </c>
    </row>
    <row r="298" customFormat="false" ht="15" hidden="false" customHeight="true" outlineLevel="0" collapsed="false">
      <c r="A298" s="13"/>
      <c r="B298" s="11"/>
      <c r="C298" s="13"/>
      <c r="D298" s="17" t="str">
        <f aca="false">IF(A298="","",SUMIF($A$2:$A$301,A298,$C$2:$C$301))</f>
        <v/>
      </c>
      <c r="E298" s="18" t="str">
        <f aca="false">IF(OR(A298="",D298="",D298=0),"",C298/D298)</f>
        <v/>
      </c>
      <c r="F298" s="17" t="str">
        <f aca="false">IFERROR(INDEX(商品資料!$H:$H,MATCH(A298,商品資料!$D:$D,0)),"")</f>
        <v/>
      </c>
      <c r="G298" s="17" t="str">
        <f aca="false">IF(OR(E298="",F298=""),"",ROUND(E298*F298,0))</f>
        <v/>
      </c>
    </row>
    <row r="299" customFormat="false" ht="15" hidden="false" customHeight="true" outlineLevel="0" collapsed="false">
      <c r="A299" s="13"/>
      <c r="B299" s="11"/>
      <c r="C299" s="13"/>
      <c r="D299" s="17" t="str">
        <f aca="false">IF(A299="","",SUMIF($A$2:$A$301,A299,$C$2:$C$301))</f>
        <v/>
      </c>
      <c r="E299" s="18" t="str">
        <f aca="false">IF(OR(A299="",D299="",D299=0),"",C299/D299)</f>
        <v/>
      </c>
      <c r="F299" s="17" t="str">
        <f aca="false">IFERROR(INDEX(商品資料!$H:$H,MATCH(A299,商品資料!$D:$D,0)),"")</f>
        <v/>
      </c>
      <c r="G299" s="17" t="str">
        <f aca="false">IF(OR(E299="",F299=""),"",ROUND(E299*F299,0))</f>
        <v/>
      </c>
    </row>
    <row r="300" customFormat="false" ht="15" hidden="false" customHeight="true" outlineLevel="0" collapsed="false">
      <c r="A300" s="13"/>
      <c r="B300" s="11"/>
      <c r="C300" s="13"/>
      <c r="D300" s="17" t="str">
        <f aca="false">IF(A300="","",SUMIF($A$2:$A$301,A300,$C$2:$C$301))</f>
        <v/>
      </c>
      <c r="E300" s="18" t="str">
        <f aca="false">IF(OR(A300="",D300="",D300=0),"",C300/D300)</f>
        <v/>
      </c>
      <c r="F300" s="17" t="str">
        <f aca="false">IFERROR(INDEX(商品資料!$H:$H,MATCH(A300,商品資料!$D:$D,0)),"")</f>
        <v/>
      </c>
      <c r="G300" s="17" t="str">
        <f aca="false">IF(OR(E300="",F300=""),"",ROUND(E300*F300,0))</f>
        <v/>
      </c>
    </row>
  </sheetData>
  <dataValidations count="1">
    <dataValidation allowBlank="false" error="請輸入不小於 0 的整數" errorStyle="stop" errorTitle="數字錯誤" operator="greaterThanOrEqual" showDropDown="false" showErrorMessage="true" showInputMessage="false" sqref="C2:C301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2026-08-24T21:36:31Z</dcterms:created>
  <dc:creator>openpyxl</dc:creator>
  <dc:description/>
  <dc:language>en-US</dc:language>
  <cp:lastModifiedBy/>
  <dcterms:modified xsi:type="dcterms:W3CDTF">2026-08-28T08:09:17Z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